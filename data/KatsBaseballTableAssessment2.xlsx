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rohitkrishnan/Desktop/Liquid Sports Lab/ECCKatsDash/ECCKatsBaseball/data/"/>
    </mc:Choice>
  </mc:AlternateContent>
  <xr:revisionPtr revIDLastSave="0" documentId="13_ncr:1_{46F32F79-B511-AB48-8BD0-4B9C5CD2F742}" xr6:coauthVersionLast="47" xr6:coauthVersionMax="47" xr10:uidLastSave="{00000000-0000-0000-0000-000000000000}"/>
  <bookViews>
    <workbookView xWindow="41920" yWindow="1100" windowWidth="30240" windowHeight="18880" xr2:uid="{00000000-000D-0000-FFFF-FFFF00000000}"/>
  </bookViews>
  <sheets>
    <sheet name="Table Assessment" sheetId="1" r:id="rId1"/>
    <sheet name="Horizontal Jumps" sheetId="2" r:id="rId2"/>
    <sheet name="VALD" sheetId="3" r:id="rId3"/>
    <sheet name="Moca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3" l="1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R18" i="1"/>
  <c r="P18" i="1"/>
  <c r="P16" i="1"/>
  <c r="R14" i="1"/>
  <c r="P14" i="1"/>
  <c r="R10" i="1"/>
  <c r="R9" i="1"/>
  <c r="P9" i="1"/>
  <c r="R8" i="1"/>
  <c r="P8" i="1"/>
  <c r="R7" i="1"/>
  <c r="P7" i="1"/>
  <c r="P6" i="1"/>
  <c r="R5" i="1"/>
  <c r="P5" i="1"/>
  <c r="P4" i="1"/>
  <c r="R3" i="1"/>
  <c r="P3" i="1"/>
</calcChain>
</file>

<file path=xl/sharedStrings.xml><?xml version="1.0" encoding="utf-8"?>
<sst xmlns="http://schemas.openxmlformats.org/spreadsheetml/2006/main" count="345" uniqueCount="171">
  <si>
    <t xml:space="preserve">Previous Injury </t>
  </si>
  <si>
    <t>Cx Rot L</t>
  </si>
  <si>
    <t>Cx Rot R</t>
  </si>
  <si>
    <t>Lx Flexion</t>
  </si>
  <si>
    <t>Lx Extension</t>
  </si>
  <si>
    <t>Hip IR - R</t>
  </si>
  <si>
    <t xml:space="preserve">Hip IR - L </t>
  </si>
  <si>
    <t>PSLR - R</t>
  </si>
  <si>
    <t>PSLR - L</t>
  </si>
  <si>
    <t>ASLR - R</t>
  </si>
  <si>
    <t>ASLR - L</t>
  </si>
  <si>
    <t xml:space="preserve">Shoulder ER - R </t>
  </si>
  <si>
    <t>Shoulder IR - R</t>
  </si>
  <si>
    <t>Shoulder ER - L</t>
  </si>
  <si>
    <t xml:space="preserve">Shoulder IR - L </t>
  </si>
  <si>
    <t>TSpine Rot - L</t>
  </si>
  <si>
    <t xml:space="preserve">TSpine Rot - R </t>
  </si>
  <si>
    <t>Ankle DF - R</t>
  </si>
  <si>
    <t>Ankle DF - L</t>
  </si>
  <si>
    <t>Pelvic Rotation</t>
  </si>
  <si>
    <t>Pelvic Ant/Post</t>
  </si>
  <si>
    <t>SL Squat  - R</t>
  </si>
  <si>
    <t>SL Squat - L</t>
  </si>
  <si>
    <t>SL Balance  - R</t>
  </si>
  <si>
    <t>SL Balance - L</t>
  </si>
  <si>
    <t>Other</t>
  </si>
  <si>
    <t>Nick Gold</t>
  </si>
  <si>
    <t>N/a</t>
  </si>
  <si>
    <t xml:space="preserve">Lateral Shift </t>
  </si>
  <si>
    <t>Shake &amp; Bake</t>
  </si>
  <si>
    <t>Good</t>
  </si>
  <si>
    <t>Knee Valgus - Foot/hip</t>
  </si>
  <si>
    <t>Xavier Beckstead</t>
  </si>
  <si>
    <t>No Posterior Tilt</t>
  </si>
  <si>
    <t>Good Rotation</t>
  </si>
  <si>
    <t xml:space="preserve">Trunk Stability </t>
  </si>
  <si>
    <t xml:space="preserve">LE Stability </t>
  </si>
  <si>
    <t>Joe Downey</t>
  </si>
  <si>
    <t xml:space="preserve">n/a </t>
  </si>
  <si>
    <t>Shake &amp; Bake, Good</t>
  </si>
  <si>
    <t>Rafael Smith</t>
  </si>
  <si>
    <t>No Posterior Tilt, No Anterior Tilt</t>
  </si>
  <si>
    <t>Shake &amp; Bake, No Anterior Tilt</t>
  </si>
  <si>
    <t>Jaden Korpan</t>
  </si>
  <si>
    <t xml:space="preserve">Unable </t>
  </si>
  <si>
    <t xml:space="preserve">elbow tightness during on-ramping </t>
  </si>
  <si>
    <t>Kieran Glassford</t>
  </si>
  <si>
    <t>UCL Sprain last spring</t>
  </si>
  <si>
    <t>Still recovering from humerus Fx</t>
  </si>
  <si>
    <t>Poor Eccentric Control</t>
  </si>
  <si>
    <t>Name</t>
  </si>
  <si>
    <t>Broad Jump - No Arms</t>
  </si>
  <si>
    <t>Broad Jumps - Arm Swing</t>
  </si>
  <si>
    <t>SL Broad - R</t>
  </si>
  <si>
    <t xml:space="preserve">SL Broad - L </t>
  </si>
  <si>
    <t>Lateral - R</t>
  </si>
  <si>
    <t xml:space="preserve">Lateral - L </t>
  </si>
  <si>
    <t>5'5</t>
  </si>
  <si>
    <t>7'2</t>
  </si>
  <si>
    <t>5'8</t>
  </si>
  <si>
    <t>6'0</t>
  </si>
  <si>
    <t>5'7</t>
  </si>
  <si>
    <t>5'10</t>
  </si>
  <si>
    <t>7'8</t>
  </si>
  <si>
    <t>6'10</t>
  </si>
  <si>
    <t>6'3</t>
  </si>
  <si>
    <t>6'5</t>
  </si>
  <si>
    <t>6'9</t>
  </si>
  <si>
    <t>8'10</t>
  </si>
  <si>
    <t>7'5</t>
  </si>
  <si>
    <t>7'3</t>
  </si>
  <si>
    <t>7'7</t>
  </si>
  <si>
    <t>5'6</t>
  </si>
  <si>
    <t>5'11</t>
  </si>
  <si>
    <t>6'6</t>
  </si>
  <si>
    <t>8'0</t>
  </si>
  <si>
    <t>7'1</t>
  </si>
  <si>
    <t>6'7</t>
  </si>
  <si>
    <t>5'2</t>
  </si>
  <si>
    <t>6'1</t>
  </si>
  <si>
    <t>7'11</t>
  </si>
  <si>
    <t>5'9</t>
  </si>
  <si>
    <t>6'2</t>
  </si>
  <si>
    <t>5'3</t>
  </si>
  <si>
    <t>7'0</t>
  </si>
  <si>
    <t>8'2</t>
  </si>
  <si>
    <t>6'11</t>
  </si>
  <si>
    <t>6'4</t>
  </si>
  <si>
    <t>4'11</t>
  </si>
  <si>
    <t>4'8</t>
  </si>
  <si>
    <t>4'10</t>
  </si>
  <si>
    <t>5' 6</t>
  </si>
  <si>
    <t xml:space="preserve">ForceDecks </t>
  </si>
  <si>
    <t xml:space="preserve">DynaMo Lite </t>
  </si>
  <si>
    <t>Complete R &amp; L</t>
  </si>
  <si>
    <t xml:space="preserve">Complete R &amp; L </t>
  </si>
  <si>
    <t xml:space="preserve">NAME </t>
  </si>
  <si>
    <t xml:space="preserve">CMJ x3 </t>
  </si>
  <si>
    <t>SQJ x 2</t>
  </si>
  <si>
    <t xml:space="preserve">Hop Test </t>
  </si>
  <si>
    <t>SL CMJ - Right</t>
  </si>
  <si>
    <t>SL CMJ - Left</t>
  </si>
  <si>
    <t>Plyo Push-up x2</t>
  </si>
  <si>
    <t>Shoulder Flexion - AROM</t>
  </si>
  <si>
    <t>Shoulder - IR AROM</t>
  </si>
  <si>
    <t>Shoulder ER - AROM</t>
  </si>
  <si>
    <t xml:space="preserve">Shoulder IR 90/90 Strength </t>
  </si>
  <si>
    <t xml:space="preserve">Shoulder ER 90/90 - strength </t>
  </si>
  <si>
    <t xml:space="preserve">Supine shoulder ABD </t>
  </si>
  <si>
    <t xml:space="preserve">Pinch Grip </t>
  </si>
  <si>
    <t>Mocap</t>
  </si>
  <si>
    <t>Time</t>
  </si>
  <si>
    <t>Handedness</t>
  </si>
  <si>
    <t>Notes</t>
  </si>
  <si>
    <t>YES</t>
  </si>
  <si>
    <t>RHP</t>
  </si>
  <si>
    <t>81 -&gt; 84.8</t>
  </si>
  <si>
    <t>Tony Weber</t>
  </si>
  <si>
    <t>82 -&gt; 86.7</t>
  </si>
  <si>
    <t>Liam McMurrary</t>
  </si>
  <si>
    <t>81 -&gt; 83</t>
  </si>
  <si>
    <t>Kayden Graham</t>
  </si>
  <si>
    <t>Jaxzyn Moritz</t>
  </si>
  <si>
    <t>John Callahan</t>
  </si>
  <si>
    <t>81.2-&gt; 82.3</t>
  </si>
  <si>
    <t>LHP</t>
  </si>
  <si>
    <t>filice</t>
  </si>
  <si>
    <t>locatelli</t>
  </si>
  <si>
    <t>refermat</t>
  </si>
  <si>
    <t>reece boyle</t>
  </si>
  <si>
    <t>rhp</t>
  </si>
  <si>
    <t>First Name</t>
  </si>
  <si>
    <t>Last Name</t>
  </si>
  <si>
    <t xml:space="preserve">Nick </t>
  </si>
  <si>
    <t>Gold</t>
  </si>
  <si>
    <t xml:space="preserve">Xavier </t>
  </si>
  <si>
    <t>Beckstead</t>
  </si>
  <si>
    <t xml:space="preserve">Joe </t>
  </si>
  <si>
    <t>Downey</t>
  </si>
  <si>
    <t xml:space="preserve">John </t>
  </si>
  <si>
    <t>Callahan</t>
  </si>
  <si>
    <t>McMurray</t>
  </si>
  <si>
    <t xml:space="preserve">Liam </t>
  </si>
  <si>
    <t>Smith</t>
  </si>
  <si>
    <t xml:space="preserve">Rafael </t>
  </si>
  <si>
    <t>Jaxsyn</t>
  </si>
  <si>
    <t>Moritz</t>
  </si>
  <si>
    <t xml:space="preserve">Justin </t>
  </si>
  <si>
    <t>Refermat</t>
  </si>
  <si>
    <t xml:space="preserve">Jaden </t>
  </si>
  <si>
    <t>Korpan</t>
  </si>
  <si>
    <t>Kayden</t>
  </si>
  <si>
    <t xml:space="preserve"> Duncan</t>
  </si>
  <si>
    <t xml:space="preserve">Kaleb </t>
  </si>
  <si>
    <t>Lochatelli</t>
  </si>
  <si>
    <t xml:space="preserve">Anthony </t>
  </si>
  <si>
    <t>Webber</t>
  </si>
  <si>
    <t xml:space="preserve">Kieran </t>
  </si>
  <si>
    <t>Glassford</t>
  </si>
  <si>
    <t xml:space="preserve">Zack </t>
  </si>
  <si>
    <t>Bedard</t>
  </si>
  <si>
    <t xml:space="preserve">Filice </t>
  </si>
  <si>
    <t xml:space="preserve">Gianluca </t>
  </si>
  <si>
    <t xml:space="preserve">Cole </t>
  </si>
  <si>
    <t>Penner</t>
  </si>
  <si>
    <t>Reece</t>
  </si>
  <si>
    <t xml:space="preserve"> Boyle</t>
  </si>
  <si>
    <t xml:space="preserve">Caleb </t>
  </si>
  <si>
    <t>Korhonen</t>
  </si>
  <si>
    <t>Sleep (Avg # of hours)</t>
  </si>
  <si>
    <t>Water intake (oz/day)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</si>
</sst>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3" borderId="0" xfId="0" applyFont="1" applyFill="1" applyAlignment="1">
      <alignment horizontal="center"/>
    </xf>
    <xf numFmtId="0" fontId="1" fillId="0" borderId="0" xfId="0" applyFont="1"/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20" fontId="4" fillId="0" borderId="0" xfId="0" applyNumberFormat="1" applyFont="1" applyAlignment="1">
      <alignment horizontal="center"/>
    </xf>
    <xf numFmtId="20" fontId="4" fillId="0" borderId="0" xfId="0" applyNumberFormat="1" applyFont="1"/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979"/>
  <sheetViews>
    <sheetView tabSelected="1" workbookViewId="0">
      <pane ySplit="1" topLeftCell="A2" activePane="bottomLeft" state="frozen"/>
      <selection pane="bottomLeft" activeCell="C20" sqref="C20"/>
    </sheetView>
  </sheetViews>
  <sheetFormatPr baseColWidth="10" defaultColWidth="12.6640625" defaultRowHeight="15.75" customHeight="1" x14ac:dyDescent="0.15"/>
  <cols>
    <col min="1" max="2" width="18.6640625" customWidth="1"/>
    <col min="3" max="3" width="31" style="13" customWidth="1"/>
    <col min="4" max="4" width="24.33203125" customWidth="1"/>
    <col min="5" max="5" width="37.1640625" customWidth="1"/>
    <col min="6" max="6" width="7.5" customWidth="1"/>
    <col min="7" max="7" width="7.6640625" customWidth="1"/>
    <col min="8" max="8" width="8.6640625" customWidth="1"/>
    <col min="9" max="9" width="10.5" customWidth="1"/>
    <col min="10" max="10" width="8.1640625" customWidth="1"/>
    <col min="11" max="11" width="8.33203125" customWidth="1"/>
    <col min="12" max="12" width="8" customWidth="1"/>
    <col min="13" max="13" width="7.6640625" customWidth="1"/>
    <col min="14" max="14" width="8" customWidth="1"/>
    <col min="15" max="15" width="7.6640625" customWidth="1"/>
    <col min="16" max="16" width="13.6640625" customWidth="1"/>
  </cols>
  <sheetData>
    <row r="1" spans="1:31" ht="15.75" customHeight="1" x14ac:dyDescent="0.15">
      <c r="A1" s="1" t="s">
        <v>131</v>
      </c>
      <c r="B1" s="1" t="s">
        <v>132</v>
      </c>
      <c r="C1" s="1" t="s">
        <v>169</v>
      </c>
      <c r="D1" s="1" t="s">
        <v>170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2" t="s">
        <v>17</v>
      </c>
      <c r="W1" s="2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/>
    </row>
    <row r="2" spans="1:31" ht="15.75" customHeight="1" x14ac:dyDescent="0.15">
      <c r="A2" s="4" t="s">
        <v>133</v>
      </c>
      <c r="B2" s="4" t="s">
        <v>134</v>
      </c>
      <c r="C2" s="10">
        <v>7.5</v>
      </c>
      <c r="D2" s="4">
        <v>64</v>
      </c>
      <c r="E2" s="4" t="s">
        <v>27</v>
      </c>
      <c r="F2" s="4">
        <v>70</v>
      </c>
      <c r="G2" s="4">
        <v>77</v>
      </c>
      <c r="H2" s="4">
        <v>82</v>
      </c>
      <c r="I2" s="4">
        <v>54</v>
      </c>
      <c r="J2" s="4">
        <v>38</v>
      </c>
      <c r="K2" s="4">
        <v>46</v>
      </c>
      <c r="L2" s="4">
        <v>82</v>
      </c>
      <c r="M2" s="4">
        <v>77</v>
      </c>
      <c r="N2" s="4">
        <v>71</v>
      </c>
      <c r="O2" s="4">
        <v>71</v>
      </c>
      <c r="P2" s="4">
        <v>160</v>
      </c>
      <c r="Q2" s="4">
        <v>90</v>
      </c>
      <c r="R2" s="4">
        <v>146</v>
      </c>
      <c r="S2" s="4">
        <v>103</v>
      </c>
      <c r="T2" s="4">
        <v>65</v>
      </c>
      <c r="U2" s="4">
        <v>57</v>
      </c>
      <c r="V2" s="3">
        <v>41</v>
      </c>
      <c r="W2" s="3">
        <v>39</v>
      </c>
      <c r="X2" s="4" t="s">
        <v>28</v>
      </c>
      <c r="Y2" s="4" t="s">
        <v>29</v>
      </c>
      <c r="Z2" s="4" t="s">
        <v>30</v>
      </c>
      <c r="AA2" s="4" t="s">
        <v>31</v>
      </c>
      <c r="AB2" s="4" t="s">
        <v>30</v>
      </c>
      <c r="AC2" s="4" t="s">
        <v>30</v>
      </c>
    </row>
    <row r="3" spans="1:31" ht="15.75" customHeight="1" x14ac:dyDescent="0.15">
      <c r="A3" s="4" t="s">
        <v>135</v>
      </c>
      <c r="B3" s="4" t="s">
        <v>136</v>
      </c>
      <c r="C3" s="10">
        <v>8</v>
      </c>
      <c r="D3" s="4">
        <v>160</v>
      </c>
      <c r="E3" s="4" t="s">
        <v>27</v>
      </c>
      <c r="F3" s="4">
        <v>77</v>
      </c>
      <c r="G3" s="4">
        <v>70</v>
      </c>
      <c r="H3" s="4">
        <v>82</v>
      </c>
      <c r="I3" s="4">
        <v>48</v>
      </c>
      <c r="J3" s="4">
        <v>41</v>
      </c>
      <c r="K3" s="4">
        <v>41</v>
      </c>
      <c r="L3" s="4">
        <v>73</v>
      </c>
      <c r="M3" s="4">
        <v>83</v>
      </c>
      <c r="N3" s="4">
        <v>66</v>
      </c>
      <c r="O3" s="4">
        <v>68</v>
      </c>
      <c r="P3" s="4">
        <f>90+64</f>
        <v>154</v>
      </c>
      <c r="Q3" s="4">
        <v>105</v>
      </c>
      <c r="R3" s="4">
        <f>90+43</f>
        <v>133</v>
      </c>
      <c r="S3" s="4">
        <v>90</v>
      </c>
      <c r="T3" s="4">
        <v>71</v>
      </c>
      <c r="U3" s="4">
        <v>67</v>
      </c>
      <c r="V3" s="3">
        <v>34</v>
      </c>
      <c r="W3" s="3">
        <v>37</v>
      </c>
      <c r="X3" s="4" t="s">
        <v>28</v>
      </c>
      <c r="Y3" s="4" t="s">
        <v>33</v>
      </c>
      <c r="Z3" s="4" t="s">
        <v>30</v>
      </c>
      <c r="AA3" s="4" t="s">
        <v>30</v>
      </c>
      <c r="AB3" s="4" t="s">
        <v>30</v>
      </c>
      <c r="AC3" s="4" t="s">
        <v>30</v>
      </c>
    </row>
    <row r="4" spans="1:31" ht="15.75" customHeight="1" x14ac:dyDescent="0.15">
      <c r="A4" s="4" t="s">
        <v>139</v>
      </c>
      <c r="B4" s="4" t="s">
        <v>140</v>
      </c>
      <c r="C4" s="10">
        <v>7</v>
      </c>
      <c r="D4" s="4">
        <v>128</v>
      </c>
      <c r="E4" s="4" t="s">
        <v>27</v>
      </c>
      <c r="F4" s="4">
        <v>74</v>
      </c>
      <c r="G4" s="4">
        <v>75</v>
      </c>
      <c r="H4" s="4">
        <v>92</v>
      </c>
      <c r="I4" s="4">
        <v>51</v>
      </c>
      <c r="J4" s="4">
        <v>52</v>
      </c>
      <c r="K4" s="4">
        <v>51</v>
      </c>
      <c r="L4" s="4">
        <v>110</v>
      </c>
      <c r="M4" s="4">
        <v>103</v>
      </c>
      <c r="N4" s="4">
        <v>79</v>
      </c>
      <c r="O4" s="4">
        <v>83</v>
      </c>
      <c r="P4" s="4">
        <f>90+56</f>
        <v>146</v>
      </c>
      <c r="Q4" s="4">
        <v>76</v>
      </c>
      <c r="R4" s="4">
        <v>146</v>
      </c>
      <c r="S4" s="4">
        <v>88</v>
      </c>
      <c r="T4" s="4">
        <v>60</v>
      </c>
      <c r="U4" s="4">
        <v>66</v>
      </c>
      <c r="V4" s="3">
        <v>43</v>
      </c>
      <c r="W4" s="3">
        <v>39</v>
      </c>
      <c r="X4" s="4" t="s">
        <v>34</v>
      </c>
      <c r="Y4" s="4" t="s">
        <v>33</v>
      </c>
      <c r="Z4" s="4" t="s">
        <v>30</v>
      </c>
      <c r="AA4" s="4" t="s">
        <v>31</v>
      </c>
      <c r="AB4" s="4" t="s">
        <v>35</v>
      </c>
      <c r="AC4" s="4" t="s">
        <v>36</v>
      </c>
    </row>
    <row r="5" spans="1:31" ht="15.75" customHeight="1" x14ac:dyDescent="0.15">
      <c r="A5" s="4" t="s">
        <v>137</v>
      </c>
      <c r="B5" s="4" t="s">
        <v>138</v>
      </c>
      <c r="C5" s="10">
        <v>7</v>
      </c>
      <c r="D5" s="4">
        <v>128</v>
      </c>
      <c r="E5" s="4" t="s">
        <v>27</v>
      </c>
      <c r="F5" s="4">
        <v>55</v>
      </c>
      <c r="G5" s="4">
        <v>70</v>
      </c>
      <c r="H5" s="4">
        <v>80</v>
      </c>
      <c r="I5" s="4">
        <v>42</v>
      </c>
      <c r="J5" s="4">
        <v>42</v>
      </c>
      <c r="K5" s="4">
        <v>44</v>
      </c>
      <c r="L5" s="4">
        <v>73</v>
      </c>
      <c r="M5" s="4">
        <v>64</v>
      </c>
      <c r="N5" s="4">
        <v>64</v>
      </c>
      <c r="O5" s="4">
        <v>59</v>
      </c>
      <c r="P5" s="4">
        <f>90+50</f>
        <v>140</v>
      </c>
      <c r="Q5" s="4">
        <v>88</v>
      </c>
      <c r="R5" s="4">
        <f>90+46</f>
        <v>136</v>
      </c>
      <c r="S5" s="4">
        <v>100</v>
      </c>
      <c r="T5" s="4">
        <v>45</v>
      </c>
      <c r="U5" s="4">
        <v>51</v>
      </c>
      <c r="V5" s="3">
        <v>43</v>
      </c>
      <c r="W5" s="3">
        <v>26</v>
      </c>
      <c r="X5" s="4" t="s">
        <v>28</v>
      </c>
      <c r="Y5" s="4" t="s">
        <v>30</v>
      </c>
      <c r="Z5" s="4" t="s">
        <v>30</v>
      </c>
      <c r="AA5" s="4" t="s">
        <v>30</v>
      </c>
      <c r="AB5" s="4" t="s">
        <v>30</v>
      </c>
      <c r="AC5" s="4" t="s">
        <v>30</v>
      </c>
    </row>
    <row r="6" spans="1:31" ht="15.75" customHeight="1" x14ac:dyDescent="0.15">
      <c r="A6" s="4" t="s">
        <v>142</v>
      </c>
      <c r="B6" s="4" t="s">
        <v>141</v>
      </c>
      <c r="C6" s="10">
        <v>8</v>
      </c>
      <c r="D6" s="4">
        <v>100</v>
      </c>
      <c r="E6" s="4" t="s">
        <v>38</v>
      </c>
      <c r="F6" s="4">
        <v>68</v>
      </c>
      <c r="G6" s="4">
        <v>75</v>
      </c>
      <c r="H6" s="4">
        <v>90</v>
      </c>
      <c r="I6" s="4">
        <v>58</v>
      </c>
      <c r="J6" s="4">
        <v>51</v>
      </c>
      <c r="K6" s="4">
        <v>55</v>
      </c>
      <c r="L6" s="4">
        <v>80</v>
      </c>
      <c r="M6" s="4">
        <v>92</v>
      </c>
      <c r="N6" s="4">
        <v>84</v>
      </c>
      <c r="O6" s="4">
        <v>84</v>
      </c>
      <c r="P6" s="4">
        <f>90+93</f>
        <v>183</v>
      </c>
      <c r="Q6" s="4">
        <v>90</v>
      </c>
      <c r="R6" s="4">
        <v>155</v>
      </c>
      <c r="S6" s="4">
        <v>110</v>
      </c>
      <c r="T6" s="4">
        <v>72</v>
      </c>
      <c r="U6" s="4">
        <v>68</v>
      </c>
      <c r="V6" s="3">
        <v>35</v>
      </c>
      <c r="W6" s="3">
        <v>41</v>
      </c>
      <c r="X6" s="4" t="s">
        <v>34</v>
      </c>
      <c r="Y6" s="4" t="s">
        <v>39</v>
      </c>
      <c r="Z6" s="4" t="s">
        <v>31</v>
      </c>
      <c r="AA6" s="4" t="s">
        <v>30</v>
      </c>
      <c r="AB6" s="4" t="s">
        <v>30</v>
      </c>
      <c r="AC6" s="4" t="s">
        <v>36</v>
      </c>
      <c r="AD6" s="5"/>
    </row>
    <row r="7" spans="1:31" ht="15.75" customHeight="1" x14ac:dyDescent="0.15">
      <c r="A7" s="4" t="s">
        <v>144</v>
      </c>
      <c r="B7" s="4" t="s">
        <v>143</v>
      </c>
      <c r="C7" s="10">
        <v>9</v>
      </c>
      <c r="D7" s="4">
        <v>40</v>
      </c>
      <c r="E7" s="4" t="s">
        <v>27</v>
      </c>
      <c r="F7" s="4">
        <v>60</v>
      </c>
      <c r="G7" s="4">
        <v>65</v>
      </c>
      <c r="H7" s="4">
        <v>70</v>
      </c>
      <c r="I7" s="4">
        <v>53</v>
      </c>
      <c r="J7" s="4">
        <v>44</v>
      </c>
      <c r="K7" s="4">
        <v>43</v>
      </c>
      <c r="L7" s="4">
        <v>68</v>
      </c>
      <c r="M7" s="4">
        <v>64</v>
      </c>
      <c r="N7" s="4">
        <v>56</v>
      </c>
      <c r="O7" s="4">
        <v>56</v>
      </c>
      <c r="P7" s="4">
        <f>90+37</f>
        <v>127</v>
      </c>
      <c r="Q7" s="4">
        <v>113</v>
      </c>
      <c r="R7" s="4">
        <f>90+32</f>
        <v>122</v>
      </c>
      <c r="S7" s="4">
        <v>100</v>
      </c>
      <c r="T7" s="4">
        <v>60</v>
      </c>
      <c r="U7" s="4">
        <v>48</v>
      </c>
      <c r="V7" s="3">
        <v>38</v>
      </c>
      <c r="W7" s="3">
        <v>37</v>
      </c>
      <c r="X7" s="4" t="s">
        <v>28</v>
      </c>
      <c r="Y7" s="4" t="s">
        <v>41</v>
      </c>
      <c r="Z7" s="4" t="s">
        <v>31</v>
      </c>
      <c r="AA7" s="4" t="s">
        <v>30</v>
      </c>
      <c r="AB7" s="4" t="s">
        <v>30</v>
      </c>
      <c r="AC7" s="4" t="s">
        <v>30</v>
      </c>
    </row>
    <row r="8" spans="1:31" ht="15.75" customHeight="1" x14ac:dyDescent="0.15">
      <c r="A8" s="4" t="s">
        <v>145</v>
      </c>
      <c r="B8" s="4" t="s">
        <v>146</v>
      </c>
      <c r="C8" s="10">
        <v>9</v>
      </c>
      <c r="D8" s="4">
        <v>48</v>
      </c>
      <c r="E8" s="4" t="s">
        <v>27</v>
      </c>
      <c r="F8" s="4">
        <v>81</v>
      </c>
      <c r="G8" s="4">
        <v>78</v>
      </c>
      <c r="H8" s="4">
        <v>78</v>
      </c>
      <c r="I8" s="4">
        <v>69</v>
      </c>
      <c r="J8" s="4">
        <v>43</v>
      </c>
      <c r="K8" s="4">
        <v>44</v>
      </c>
      <c r="L8" s="4">
        <v>68</v>
      </c>
      <c r="M8" s="4">
        <v>73</v>
      </c>
      <c r="N8" s="4">
        <v>66</v>
      </c>
      <c r="O8" s="4">
        <v>70</v>
      </c>
      <c r="P8" s="4">
        <f>90+67</f>
        <v>157</v>
      </c>
      <c r="Q8" s="4">
        <v>83</v>
      </c>
      <c r="R8" s="4">
        <f>90+46</f>
        <v>136</v>
      </c>
      <c r="S8" s="4">
        <v>79</v>
      </c>
      <c r="T8" s="4">
        <v>67</v>
      </c>
      <c r="U8" s="4">
        <v>60</v>
      </c>
      <c r="V8" s="3">
        <v>42</v>
      </c>
      <c r="W8" s="3">
        <v>41</v>
      </c>
      <c r="X8" s="4" t="s">
        <v>28</v>
      </c>
      <c r="Y8" s="4" t="s">
        <v>30</v>
      </c>
      <c r="Z8" s="4" t="s">
        <v>31</v>
      </c>
      <c r="AA8" s="4" t="s">
        <v>30</v>
      </c>
      <c r="AB8" s="4" t="s">
        <v>35</v>
      </c>
      <c r="AC8" s="4" t="s">
        <v>35</v>
      </c>
    </row>
    <row r="9" spans="1:31" ht="15.75" customHeight="1" x14ac:dyDescent="0.15">
      <c r="A9" s="4" t="s">
        <v>147</v>
      </c>
      <c r="B9" s="4" t="s">
        <v>148</v>
      </c>
      <c r="C9" s="10">
        <v>7</v>
      </c>
      <c r="D9" s="4">
        <v>256</v>
      </c>
      <c r="E9" s="4" t="s">
        <v>27</v>
      </c>
      <c r="F9" s="4">
        <v>70</v>
      </c>
      <c r="G9" s="4">
        <v>65</v>
      </c>
      <c r="H9" s="4">
        <v>73</v>
      </c>
      <c r="I9" s="4">
        <v>52</v>
      </c>
      <c r="J9" s="4">
        <v>38</v>
      </c>
      <c r="K9" s="4">
        <v>43</v>
      </c>
      <c r="L9" s="4">
        <v>77</v>
      </c>
      <c r="M9" s="4">
        <v>78</v>
      </c>
      <c r="N9" s="4">
        <v>71</v>
      </c>
      <c r="O9" s="4">
        <v>74</v>
      </c>
      <c r="P9" s="4">
        <f>90+58</f>
        <v>148</v>
      </c>
      <c r="Q9" s="4">
        <v>90</v>
      </c>
      <c r="R9" s="4">
        <f>90+43</f>
        <v>133</v>
      </c>
      <c r="S9" s="4">
        <v>99</v>
      </c>
      <c r="T9" s="4">
        <v>60</v>
      </c>
      <c r="U9" s="4">
        <v>54</v>
      </c>
      <c r="V9" s="3">
        <v>27</v>
      </c>
      <c r="W9" s="3">
        <v>24</v>
      </c>
      <c r="X9" s="4" t="s">
        <v>28</v>
      </c>
      <c r="Y9" s="4" t="s">
        <v>42</v>
      </c>
      <c r="Z9" s="4" t="s">
        <v>30</v>
      </c>
      <c r="AA9" s="4" t="s">
        <v>31</v>
      </c>
      <c r="AB9" s="4" t="s">
        <v>35</v>
      </c>
      <c r="AC9" s="4" t="s">
        <v>30</v>
      </c>
    </row>
    <row r="10" spans="1:31" ht="15.75" customHeight="1" x14ac:dyDescent="0.15">
      <c r="A10" s="4" t="s">
        <v>149</v>
      </c>
      <c r="B10" s="4" t="s">
        <v>150</v>
      </c>
      <c r="C10" s="10">
        <v>7</v>
      </c>
      <c r="D10" s="4">
        <v>85</v>
      </c>
      <c r="E10" s="4" t="s">
        <v>27</v>
      </c>
      <c r="F10" s="4">
        <v>76</v>
      </c>
      <c r="G10" s="4">
        <v>77</v>
      </c>
      <c r="H10" s="4">
        <v>76</v>
      </c>
      <c r="I10" s="4">
        <v>70</v>
      </c>
      <c r="J10" s="4">
        <v>43</v>
      </c>
      <c r="K10" s="4">
        <v>41</v>
      </c>
      <c r="L10" s="4">
        <v>76</v>
      </c>
      <c r="M10" s="4">
        <v>78</v>
      </c>
      <c r="N10" s="4">
        <v>71</v>
      </c>
      <c r="O10" s="4">
        <v>72</v>
      </c>
      <c r="P10" s="4">
        <v>160</v>
      </c>
      <c r="Q10" s="4">
        <v>105</v>
      </c>
      <c r="R10" s="4">
        <f>58+90</f>
        <v>148</v>
      </c>
      <c r="S10" s="4">
        <v>105</v>
      </c>
      <c r="T10" s="4">
        <v>72</v>
      </c>
      <c r="U10" s="4">
        <v>70</v>
      </c>
      <c r="V10" s="3">
        <v>29</v>
      </c>
      <c r="W10" s="3">
        <v>32</v>
      </c>
      <c r="X10" s="4" t="s">
        <v>44</v>
      </c>
      <c r="Y10" s="4" t="s">
        <v>42</v>
      </c>
      <c r="Z10" s="4" t="s">
        <v>31</v>
      </c>
      <c r="AA10" s="4" t="s">
        <v>31</v>
      </c>
      <c r="AB10" s="4" t="s">
        <v>36</v>
      </c>
      <c r="AC10" s="4" t="s">
        <v>36</v>
      </c>
    </row>
    <row r="11" spans="1:31" ht="15.75" customHeight="1" x14ac:dyDescent="0.15">
      <c r="A11" s="4" t="s">
        <v>151</v>
      </c>
      <c r="B11" s="4" t="s">
        <v>152</v>
      </c>
      <c r="C11" s="10">
        <v>7.5</v>
      </c>
      <c r="D11" s="4">
        <v>100</v>
      </c>
      <c r="E11" s="4" t="s">
        <v>45</v>
      </c>
      <c r="F11" s="4">
        <v>70</v>
      </c>
      <c r="G11" s="4">
        <v>71</v>
      </c>
      <c r="H11" s="4">
        <v>100</v>
      </c>
      <c r="I11" s="4">
        <v>82</v>
      </c>
      <c r="J11" s="4">
        <v>48</v>
      </c>
      <c r="K11" s="4">
        <v>50</v>
      </c>
      <c r="L11" s="4">
        <v>95</v>
      </c>
      <c r="M11" s="4">
        <v>100</v>
      </c>
      <c r="N11" s="4">
        <v>79</v>
      </c>
      <c r="O11" s="4">
        <v>87</v>
      </c>
      <c r="P11" s="4">
        <v>200</v>
      </c>
      <c r="Q11" s="4">
        <v>125</v>
      </c>
      <c r="R11" s="4">
        <v>180</v>
      </c>
      <c r="S11" s="4">
        <v>110</v>
      </c>
      <c r="T11" s="4">
        <v>53</v>
      </c>
      <c r="U11" s="4">
        <v>65</v>
      </c>
      <c r="V11" s="3">
        <v>39</v>
      </c>
      <c r="W11" s="3">
        <v>39</v>
      </c>
      <c r="X11" s="4" t="s">
        <v>28</v>
      </c>
      <c r="Y11" s="4" t="s">
        <v>29</v>
      </c>
      <c r="Z11" s="4" t="s">
        <v>30</v>
      </c>
      <c r="AA11" s="4" t="s">
        <v>30</v>
      </c>
      <c r="AB11" s="4" t="s">
        <v>30</v>
      </c>
      <c r="AC11" s="4" t="s">
        <v>30</v>
      </c>
    </row>
    <row r="12" spans="1:31" ht="15.75" customHeight="1" x14ac:dyDescent="0.15">
      <c r="A12" s="4" t="s">
        <v>153</v>
      </c>
      <c r="B12" s="4" t="s">
        <v>154</v>
      </c>
      <c r="C12" s="10">
        <v>7.5</v>
      </c>
      <c r="D12" s="4">
        <v>64</v>
      </c>
      <c r="E12" s="4" t="s">
        <v>27</v>
      </c>
      <c r="F12" s="4">
        <v>79</v>
      </c>
      <c r="G12" s="4">
        <v>74</v>
      </c>
      <c r="H12" s="4">
        <v>77</v>
      </c>
      <c r="I12" s="4">
        <v>55</v>
      </c>
      <c r="J12" s="4">
        <v>58</v>
      </c>
      <c r="K12" s="4">
        <v>59</v>
      </c>
      <c r="L12" s="4">
        <v>66</v>
      </c>
      <c r="M12" s="4">
        <v>75</v>
      </c>
      <c r="N12" s="4">
        <v>52</v>
      </c>
      <c r="O12" s="4">
        <v>57</v>
      </c>
      <c r="P12" s="4">
        <v>148</v>
      </c>
      <c r="Q12" s="4">
        <v>75</v>
      </c>
      <c r="R12" s="4">
        <v>128</v>
      </c>
      <c r="S12" s="4">
        <v>86</v>
      </c>
      <c r="T12" s="4">
        <v>38</v>
      </c>
      <c r="U12" s="4">
        <v>57</v>
      </c>
      <c r="V12" s="3">
        <v>38</v>
      </c>
      <c r="W12" s="3">
        <v>37</v>
      </c>
      <c r="X12" s="4" t="s">
        <v>28</v>
      </c>
      <c r="Y12" s="4" t="s">
        <v>29</v>
      </c>
      <c r="Z12" s="4" t="s">
        <v>30</v>
      </c>
      <c r="AA12" s="4" t="s">
        <v>30</v>
      </c>
      <c r="AB12" s="4" t="s">
        <v>30</v>
      </c>
      <c r="AC12" s="4" t="s">
        <v>30</v>
      </c>
    </row>
    <row r="13" spans="1:31" ht="15.75" customHeight="1" x14ac:dyDescent="0.15">
      <c r="A13" s="4" t="s">
        <v>155</v>
      </c>
      <c r="B13" s="4" t="s">
        <v>156</v>
      </c>
      <c r="C13" s="10">
        <v>8</v>
      </c>
      <c r="D13" s="4">
        <v>100</v>
      </c>
      <c r="E13" s="4" t="s">
        <v>27</v>
      </c>
      <c r="F13" s="4">
        <v>74</v>
      </c>
      <c r="G13" s="4">
        <v>70</v>
      </c>
      <c r="H13" s="4">
        <v>81</v>
      </c>
      <c r="I13" s="4">
        <v>52</v>
      </c>
      <c r="J13" s="4">
        <v>47</v>
      </c>
      <c r="K13" s="4">
        <v>40</v>
      </c>
      <c r="L13" s="4">
        <v>82</v>
      </c>
      <c r="M13" s="4">
        <v>77</v>
      </c>
      <c r="N13" s="4">
        <v>47</v>
      </c>
      <c r="O13" s="4">
        <v>53</v>
      </c>
      <c r="P13" s="4">
        <v>136</v>
      </c>
      <c r="Q13" s="4">
        <v>87</v>
      </c>
      <c r="R13" s="4">
        <v>130</v>
      </c>
      <c r="S13" s="4">
        <v>132</v>
      </c>
      <c r="T13" s="4">
        <v>64</v>
      </c>
      <c r="U13" s="4">
        <v>84</v>
      </c>
      <c r="V13" s="3">
        <v>33</v>
      </c>
      <c r="W13" s="3">
        <v>26</v>
      </c>
      <c r="X13" s="4" t="s">
        <v>28</v>
      </c>
      <c r="Y13" s="4" t="s">
        <v>42</v>
      </c>
      <c r="Z13" s="4" t="s">
        <v>30</v>
      </c>
      <c r="AA13" s="4" t="s">
        <v>30</v>
      </c>
      <c r="AB13" s="4" t="s">
        <v>30</v>
      </c>
      <c r="AC13" s="4" t="s">
        <v>30</v>
      </c>
    </row>
    <row r="14" spans="1:31" ht="15.75" customHeight="1" x14ac:dyDescent="0.15">
      <c r="A14" s="4" t="s">
        <v>157</v>
      </c>
      <c r="B14" s="4" t="s">
        <v>158</v>
      </c>
      <c r="C14" s="10">
        <v>7</v>
      </c>
      <c r="D14" s="4">
        <v>128</v>
      </c>
      <c r="E14" s="4" t="s">
        <v>47</v>
      </c>
      <c r="F14" s="4">
        <v>66</v>
      </c>
      <c r="G14" s="4">
        <v>66</v>
      </c>
      <c r="H14" s="4">
        <v>77</v>
      </c>
      <c r="I14" s="4">
        <v>48</v>
      </c>
      <c r="J14" s="4">
        <v>58</v>
      </c>
      <c r="K14" s="4">
        <v>51</v>
      </c>
      <c r="L14" s="4">
        <v>75</v>
      </c>
      <c r="M14" s="4">
        <v>68</v>
      </c>
      <c r="N14" s="4">
        <v>63</v>
      </c>
      <c r="O14" s="4">
        <v>57</v>
      </c>
      <c r="P14" s="4">
        <f>90+38</f>
        <v>128</v>
      </c>
      <c r="Q14" s="4">
        <v>100</v>
      </c>
      <c r="R14" s="4">
        <f>90+64</f>
        <v>154</v>
      </c>
      <c r="S14" s="4">
        <v>90</v>
      </c>
      <c r="T14" s="4">
        <v>58</v>
      </c>
      <c r="U14" s="4">
        <v>58</v>
      </c>
      <c r="V14" s="3">
        <v>41</v>
      </c>
      <c r="W14" s="3">
        <v>44</v>
      </c>
      <c r="X14" s="4" t="s">
        <v>34</v>
      </c>
      <c r="Y14" s="4" t="s">
        <v>30</v>
      </c>
      <c r="Z14" s="4" t="s">
        <v>30</v>
      </c>
      <c r="AA14" s="4" t="s">
        <v>30</v>
      </c>
      <c r="AB14" s="4" t="s">
        <v>30</v>
      </c>
      <c r="AC14" s="4" t="s">
        <v>30</v>
      </c>
    </row>
    <row r="15" spans="1:31" ht="15.75" customHeight="1" x14ac:dyDescent="0.15">
      <c r="A15" s="4" t="s">
        <v>159</v>
      </c>
      <c r="B15" s="4" t="s">
        <v>160</v>
      </c>
      <c r="C15" s="10">
        <v>8</v>
      </c>
      <c r="V15" s="3"/>
      <c r="W15" s="3"/>
      <c r="X15" s="4" t="s">
        <v>28</v>
      </c>
      <c r="Y15" s="4" t="s">
        <v>33</v>
      </c>
      <c r="Z15" s="4" t="s">
        <v>31</v>
      </c>
      <c r="AA15" s="4" t="s">
        <v>30</v>
      </c>
      <c r="AB15" s="4" t="s">
        <v>30</v>
      </c>
      <c r="AC15" s="4" t="s">
        <v>30</v>
      </c>
    </row>
    <row r="16" spans="1:31" ht="15.75" customHeight="1" x14ac:dyDescent="0.15">
      <c r="A16" s="4" t="s">
        <v>162</v>
      </c>
      <c r="B16" s="4" t="s">
        <v>161</v>
      </c>
      <c r="C16" s="10">
        <v>8.5</v>
      </c>
      <c r="D16" s="4">
        <v>169</v>
      </c>
      <c r="E16" s="4" t="s">
        <v>48</v>
      </c>
      <c r="F16" s="4">
        <v>77</v>
      </c>
      <c r="G16" s="4">
        <v>80</v>
      </c>
      <c r="H16" s="4">
        <v>78</v>
      </c>
      <c r="I16" s="4">
        <v>60</v>
      </c>
      <c r="J16" s="4">
        <v>41</v>
      </c>
      <c r="K16" s="4">
        <v>45</v>
      </c>
      <c r="L16" s="4">
        <v>74</v>
      </c>
      <c r="M16" s="4">
        <v>75</v>
      </c>
      <c r="N16" s="4">
        <v>58</v>
      </c>
      <c r="O16" s="4">
        <v>64</v>
      </c>
      <c r="P16" s="4">
        <f>90+75</f>
        <v>165</v>
      </c>
      <c r="Q16" s="4">
        <v>87</v>
      </c>
      <c r="R16" s="4">
        <v>138</v>
      </c>
      <c r="S16" s="4">
        <v>87</v>
      </c>
      <c r="T16" s="4">
        <v>42</v>
      </c>
      <c r="U16" s="4">
        <v>43</v>
      </c>
      <c r="V16" s="3">
        <v>32</v>
      </c>
      <c r="W16" s="3">
        <v>38</v>
      </c>
      <c r="X16" s="4" t="s">
        <v>34</v>
      </c>
      <c r="Y16" s="4" t="s">
        <v>29</v>
      </c>
      <c r="Z16" s="4" t="s">
        <v>31</v>
      </c>
      <c r="AA16" s="4" t="s">
        <v>49</v>
      </c>
      <c r="AB16" s="4" t="s">
        <v>36</v>
      </c>
      <c r="AC16" s="4" t="s">
        <v>30</v>
      </c>
    </row>
    <row r="17" spans="1:29" ht="15.75" customHeight="1" x14ac:dyDescent="0.15">
      <c r="A17" s="4" t="s">
        <v>163</v>
      </c>
      <c r="B17" s="4" t="s">
        <v>164</v>
      </c>
      <c r="C17" s="10">
        <v>8</v>
      </c>
      <c r="P17" s="4"/>
      <c r="V17" s="3"/>
      <c r="W17" s="3"/>
      <c r="X17" s="4" t="s">
        <v>44</v>
      </c>
      <c r="Y17" s="4" t="s">
        <v>29</v>
      </c>
      <c r="Z17" s="4" t="s">
        <v>31</v>
      </c>
      <c r="AA17" s="4" t="s">
        <v>30</v>
      </c>
      <c r="AB17" s="4" t="s">
        <v>30</v>
      </c>
      <c r="AC17" s="4" t="s">
        <v>36</v>
      </c>
    </row>
    <row r="18" spans="1:29" ht="15.75" customHeight="1" x14ac:dyDescent="0.15">
      <c r="A18" s="4" t="s">
        <v>165</v>
      </c>
      <c r="B18" s="4" t="s">
        <v>166</v>
      </c>
      <c r="C18" s="10">
        <v>8</v>
      </c>
      <c r="D18" s="4">
        <v>64</v>
      </c>
      <c r="E18" s="4" t="s">
        <v>27</v>
      </c>
      <c r="F18" s="4">
        <v>76</v>
      </c>
      <c r="G18" s="4">
        <v>82</v>
      </c>
      <c r="H18" s="4">
        <v>82</v>
      </c>
      <c r="I18" s="4">
        <v>73</v>
      </c>
      <c r="J18" s="4">
        <v>36</v>
      </c>
      <c r="K18" s="4">
        <v>34</v>
      </c>
      <c r="L18" s="4">
        <v>67</v>
      </c>
      <c r="M18" s="4">
        <v>63</v>
      </c>
      <c r="N18" s="4">
        <v>55</v>
      </c>
      <c r="O18" s="4">
        <v>62</v>
      </c>
      <c r="P18" s="4">
        <f>90+68</f>
        <v>158</v>
      </c>
      <c r="Q18" s="4">
        <v>59</v>
      </c>
      <c r="R18" s="4">
        <f>90+52</f>
        <v>142</v>
      </c>
      <c r="S18" s="4">
        <v>96</v>
      </c>
      <c r="T18" s="4">
        <v>48</v>
      </c>
      <c r="U18" s="4">
        <v>56</v>
      </c>
      <c r="V18" s="3">
        <v>34</v>
      </c>
      <c r="W18" s="3">
        <v>32</v>
      </c>
      <c r="X18" s="4" t="s">
        <v>28</v>
      </c>
      <c r="Y18" s="4" t="s">
        <v>29</v>
      </c>
      <c r="Z18" s="4" t="s">
        <v>31</v>
      </c>
      <c r="AA18" s="4" t="s">
        <v>31</v>
      </c>
      <c r="AB18" s="4" t="s">
        <v>30</v>
      </c>
      <c r="AC18" s="4" t="s">
        <v>36</v>
      </c>
    </row>
    <row r="19" spans="1:29" ht="15.75" customHeight="1" x14ac:dyDescent="0.15">
      <c r="A19" s="4" t="s">
        <v>167</v>
      </c>
      <c r="B19" s="4" t="s">
        <v>168</v>
      </c>
      <c r="C19" s="10">
        <v>9</v>
      </c>
      <c r="V19" s="3"/>
      <c r="W19" s="3"/>
      <c r="X19" s="4" t="s">
        <v>44</v>
      </c>
      <c r="Y19" s="4" t="s">
        <v>29</v>
      </c>
      <c r="Z19" s="4" t="s">
        <v>30</v>
      </c>
      <c r="AA19" s="4" t="s">
        <v>31</v>
      </c>
      <c r="AB19" s="4" t="s">
        <v>36</v>
      </c>
      <c r="AC19" s="4" t="s">
        <v>36</v>
      </c>
    </row>
    <row r="20" spans="1:29" ht="15.75" customHeight="1" x14ac:dyDescent="0.15">
      <c r="V20" s="3"/>
      <c r="W20" s="3"/>
    </row>
    <row r="21" spans="1:29" ht="15.75" customHeight="1" x14ac:dyDescent="0.15">
      <c r="V21" s="3"/>
      <c r="W21" s="3"/>
    </row>
    <row r="22" spans="1:29" ht="15.75" customHeight="1" x14ac:dyDescent="0.15">
      <c r="V22" s="3"/>
      <c r="W22" s="3"/>
    </row>
    <row r="23" spans="1:29" ht="15.75" customHeight="1" x14ac:dyDescent="0.15">
      <c r="V23" s="3"/>
      <c r="W23" s="3"/>
    </row>
    <row r="24" spans="1:29" ht="15.75" customHeight="1" x14ac:dyDescent="0.15">
      <c r="V24" s="3"/>
      <c r="W24" s="3"/>
    </row>
    <row r="25" spans="1:29" ht="15.75" customHeight="1" x14ac:dyDescent="0.15">
      <c r="V25" s="3"/>
      <c r="W25" s="3"/>
    </row>
    <row r="26" spans="1:29" ht="15.75" customHeight="1" x14ac:dyDescent="0.15">
      <c r="V26" s="3"/>
      <c r="W26" s="3"/>
    </row>
    <row r="27" spans="1:29" ht="15.75" customHeight="1" x14ac:dyDescent="0.15">
      <c r="V27" s="3"/>
      <c r="W27" s="3"/>
    </row>
    <row r="28" spans="1:29" ht="15.75" customHeight="1" x14ac:dyDescent="0.15">
      <c r="V28" s="3"/>
      <c r="W28" s="3"/>
    </row>
    <row r="29" spans="1:29" ht="15.75" customHeight="1" x14ac:dyDescent="0.15">
      <c r="V29" s="3"/>
      <c r="W29" s="3"/>
    </row>
    <row r="30" spans="1:29" ht="15.75" customHeight="1" x14ac:dyDescent="0.15">
      <c r="V30" s="3"/>
      <c r="W30" s="3"/>
    </row>
    <row r="31" spans="1:29" ht="15.75" customHeight="1" x14ac:dyDescent="0.15">
      <c r="V31" s="3"/>
      <c r="W31" s="3"/>
    </row>
    <row r="32" spans="1:29" ht="15.75" customHeight="1" x14ac:dyDescent="0.15">
      <c r="V32" s="3"/>
      <c r="W32" s="3"/>
    </row>
    <row r="33" spans="22:23" ht="15.75" customHeight="1" x14ac:dyDescent="0.15">
      <c r="V33" s="3"/>
      <c r="W33" s="3"/>
    </row>
    <row r="34" spans="22:23" ht="15.75" customHeight="1" x14ac:dyDescent="0.15">
      <c r="V34" s="3"/>
      <c r="W34" s="3"/>
    </row>
    <row r="35" spans="22:23" ht="15.75" customHeight="1" x14ac:dyDescent="0.15">
      <c r="V35" s="3"/>
      <c r="W35" s="3"/>
    </row>
    <row r="36" spans="22:23" ht="15.75" customHeight="1" x14ac:dyDescent="0.15">
      <c r="V36" s="3"/>
      <c r="W36" s="3"/>
    </row>
    <row r="37" spans="22:23" ht="15.75" customHeight="1" x14ac:dyDescent="0.15">
      <c r="V37" s="3"/>
      <c r="W37" s="3"/>
    </row>
    <row r="38" spans="22:23" ht="15.75" customHeight="1" x14ac:dyDescent="0.15">
      <c r="V38" s="3"/>
      <c r="W38" s="3"/>
    </row>
    <row r="39" spans="22:23" ht="15.75" customHeight="1" x14ac:dyDescent="0.15">
      <c r="V39" s="3"/>
      <c r="W39" s="3"/>
    </row>
    <row r="40" spans="22:23" ht="15.75" customHeight="1" x14ac:dyDescent="0.15">
      <c r="V40" s="3"/>
      <c r="W40" s="3"/>
    </row>
    <row r="41" spans="22:23" ht="15.75" customHeight="1" x14ac:dyDescent="0.15">
      <c r="V41" s="3"/>
      <c r="W41" s="3"/>
    </row>
    <row r="42" spans="22:23" ht="15.75" customHeight="1" x14ac:dyDescent="0.15">
      <c r="V42" s="3"/>
      <c r="W42" s="3"/>
    </row>
    <row r="43" spans="22:23" ht="15.75" customHeight="1" x14ac:dyDescent="0.15">
      <c r="V43" s="3"/>
      <c r="W43" s="3"/>
    </row>
    <row r="44" spans="22:23" ht="15.75" customHeight="1" x14ac:dyDescent="0.15">
      <c r="V44" s="3"/>
      <c r="W44" s="3"/>
    </row>
    <row r="45" spans="22:23" ht="15.75" customHeight="1" x14ac:dyDescent="0.15">
      <c r="V45" s="3"/>
      <c r="W45" s="3"/>
    </row>
    <row r="46" spans="22:23" ht="15.75" customHeight="1" x14ac:dyDescent="0.15">
      <c r="V46" s="3"/>
      <c r="W46" s="3"/>
    </row>
    <row r="47" spans="22:23" ht="15.75" customHeight="1" x14ac:dyDescent="0.15">
      <c r="V47" s="3"/>
      <c r="W47" s="3"/>
    </row>
    <row r="48" spans="22:23" ht="15.75" customHeight="1" x14ac:dyDescent="0.15">
      <c r="V48" s="3"/>
      <c r="W48" s="3"/>
    </row>
    <row r="49" spans="22:23" ht="15.75" customHeight="1" x14ac:dyDescent="0.15">
      <c r="V49" s="3"/>
      <c r="W49" s="3"/>
    </row>
    <row r="50" spans="22:23" ht="15.75" customHeight="1" x14ac:dyDescent="0.15">
      <c r="V50" s="3"/>
      <c r="W50" s="3"/>
    </row>
    <row r="51" spans="22:23" ht="15.75" customHeight="1" x14ac:dyDescent="0.15">
      <c r="V51" s="3"/>
      <c r="W51" s="3"/>
    </row>
    <row r="52" spans="22:23" ht="15.75" customHeight="1" x14ac:dyDescent="0.15">
      <c r="V52" s="3"/>
      <c r="W52" s="3"/>
    </row>
    <row r="53" spans="22:23" ht="15.75" customHeight="1" x14ac:dyDescent="0.15">
      <c r="V53" s="3"/>
      <c r="W53" s="3"/>
    </row>
    <row r="54" spans="22:23" ht="15.75" customHeight="1" x14ac:dyDescent="0.15">
      <c r="V54" s="3"/>
      <c r="W54" s="3"/>
    </row>
    <row r="55" spans="22:23" ht="13" x14ac:dyDescent="0.15">
      <c r="V55" s="3"/>
      <c r="W55" s="3"/>
    </row>
    <row r="56" spans="22:23" ht="13" x14ac:dyDescent="0.15">
      <c r="V56" s="3"/>
      <c r="W56" s="3"/>
    </row>
    <row r="57" spans="22:23" ht="13" x14ac:dyDescent="0.15">
      <c r="V57" s="3"/>
      <c r="W57" s="3"/>
    </row>
    <row r="58" spans="22:23" ht="13" x14ac:dyDescent="0.15">
      <c r="V58" s="3"/>
      <c r="W58" s="3"/>
    </row>
    <row r="59" spans="22:23" ht="13" x14ac:dyDescent="0.15">
      <c r="V59" s="3"/>
      <c r="W59" s="3"/>
    </row>
    <row r="60" spans="22:23" ht="13" x14ac:dyDescent="0.15">
      <c r="V60" s="3"/>
      <c r="W60" s="3"/>
    </row>
    <row r="61" spans="22:23" ht="13" x14ac:dyDescent="0.15">
      <c r="V61" s="3"/>
      <c r="W61" s="3"/>
    </row>
    <row r="62" spans="22:23" ht="13" x14ac:dyDescent="0.15">
      <c r="V62" s="3"/>
      <c r="W62" s="3"/>
    </row>
    <row r="63" spans="22:23" ht="13" x14ac:dyDescent="0.15">
      <c r="V63" s="3"/>
      <c r="W63" s="3"/>
    </row>
    <row r="64" spans="22:23" ht="13" x14ac:dyDescent="0.15">
      <c r="V64" s="3"/>
      <c r="W64" s="3"/>
    </row>
    <row r="65" spans="22:23" ht="13" x14ac:dyDescent="0.15">
      <c r="V65" s="3"/>
      <c r="W65" s="3"/>
    </row>
    <row r="66" spans="22:23" ht="13" x14ac:dyDescent="0.15">
      <c r="V66" s="3"/>
      <c r="W66" s="3"/>
    </row>
    <row r="67" spans="22:23" ht="13" x14ac:dyDescent="0.15">
      <c r="V67" s="3"/>
      <c r="W67" s="3"/>
    </row>
    <row r="68" spans="22:23" ht="13" x14ac:dyDescent="0.15">
      <c r="V68" s="3"/>
      <c r="W68" s="3"/>
    </row>
    <row r="69" spans="22:23" ht="13" x14ac:dyDescent="0.15">
      <c r="V69" s="3"/>
      <c r="W69" s="3"/>
    </row>
    <row r="70" spans="22:23" ht="13" x14ac:dyDescent="0.15">
      <c r="V70" s="3"/>
      <c r="W70" s="3"/>
    </row>
    <row r="71" spans="22:23" ht="13" x14ac:dyDescent="0.15">
      <c r="V71" s="3"/>
      <c r="W71" s="3"/>
    </row>
    <row r="72" spans="22:23" ht="13" x14ac:dyDescent="0.15">
      <c r="V72" s="3"/>
      <c r="W72" s="3"/>
    </row>
    <row r="73" spans="22:23" ht="13" x14ac:dyDescent="0.15">
      <c r="V73" s="3"/>
      <c r="W73" s="3"/>
    </row>
    <row r="74" spans="22:23" ht="13" x14ac:dyDescent="0.15">
      <c r="V74" s="3"/>
      <c r="W74" s="3"/>
    </row>
    <row r="75" spans="22:23" ht="13" x14ac:dyDescent="0.15">
      <c r="V75" s="3"/>
      <c r="W75" s="3"/>
    </row>
    <row r="76" spans="22:23" ht="13" x14ac:dyDescent="0.15">
      <c r="V76" s="3"/>
      <c r="W76" s="3"/>
    </row>
    <row r="77" spans="22:23" ht="13" x14ac:dyDescent="0.15">
      <c r="V77" s="3"/>
      <c r="W77" s="3"/>
    </row>
    <row r="78" spans="22:23" ht="13" x14ac:dyDescent="0.15">
      <c r="V78" s="3"/>
      <c r="W78" s="3"/>
    </row>
    <row r="79" spans="22:23" ht="13" x14ac:dyDescent="0.15">
      <c r="V79" s="3"/>
      <c r="W79" s="3"/>
    </row>
    <row r="80" spans="22:23" ht="13" x14ac:dyDescent="0.15">
      <c r="V80" s="3"/>
      <c r="W80" s="3"/>
    </row>
    <row r="81" spans="22:23" ht="13" x14ac:dyDescent="0.15">
      <c r="V81" s="3"/>
      <c r="W81" s="3"/>
    </row>
    <row r="82" spans="22:23" ht="13" x14ac:dyDescent="0.15">
      <c r="V82" s="3"/>
      <c r="W82" s="3"/>
    </row>
    <row r="83" spans="22:23" ht="13" x14ac:dyDescent="0.15">
      <c r="V83" s="3"/>
      <c r="W83" s="3"/>
    </row>
    <row r="84" spans="22:23" ht="13" x14ac:dyDescent="0.15">
      <c r="V84" s="3"/>
      <c r="W84" s="3"/>
    </row>
    <row r="85" spans="22:23" ht="13" x14ac:dyDescent="0.15">
      <c r="V85" s="3"/>
      <c r="W85" s="3"/>
    </row>
    <row r="86" spans="22:23" ht="13" x14ac:dyDescent="0.15">
      <c r="V86" s="3"/>
      <c r="W86" s="3"/>
    </row>
    <row r="87" spans="22:23" ht="13" x14ac:dyDescent="0.15">
      <c r="V87" s="3"/>
      <c r="W87" s="3"/>
    </row>
    <row r="88" spans="22:23" ht="13" x14ac:dyDescent="0.15">
      <c r="V88" s="3"/>
      <c r="W88" s="3"/>
    </row>
    <row r="89" spans="22:23" ht="13" x14ac:dyDescent="0.15">
      <c r="V89" s="3"/>
      <c r="W89" s="3"/>
    </row>
    <row r="90" spans="22:23" ht="13" x14ac:dyDescent="0.15">
      <c r="V90" s="3"/>
      <c r="W90" s="3"/>
    </row>
    <row r="91" spans="22:23" ht="13" x14ac:dyDescent="0.15">
      <c r="V91" s="3"/>
      <c r="W91" s="3"/>
    </row>
    <row r="92" spans="22:23" ht="13" x14ac:dyDescent="0.15">
      <c r="V92" s="3"/>
      <c r="W92" s="3"/>
    </row>
    <row r="93" spans="22:23" ht="13" x14ac:dyDescent="0.15">
      <c r="V93" s="3"/>
      <c r="W93" s="3"/>
    </row>
    <row r="94" spans="22:23" ht="13" x14ac:dyDescent="0.15">
      <c r="V94" s="3"/>
      <c r="W94" s="3"/>
    </row>
    <row r="95" spans="22:23" ht="13" x14ac:dyDescent="0.15">
      <c r="V95" s="3"/>
      <c r="W95" s="3"/>
    </row>
    <row r="96" spans="22:23" ht="13" x14ac:dyDescent="0.15">
      <c r="V96" s="3"/>
      <c r="W96" s="3"/>
    </row>
    <row r="97" spans="22:23" ht="13" x14ac:dyDescent="0.15">
      <c r="V97" s="3"/>
      <c r="W97" s="3"/>
    </row>
    <row r="98" spans="22:23" ht="13" x14ac:dyDescent="0.15">
      <c r="V98" s="3"/>
      <c r="W98" s="3"/>
    </row>
    <row r="99" spans="22:23" ht="13" x14ac:dyDescent="0.15">
      <c r="V99" s="3"/>
      <c r="W99" s="3"/>
    </row>
    <row r="100" spans="22:23" ht="13" x14ac:dyDescent="0.15">
      <c r="V100" s="3"/>
      <c r="W100" s="3"/>
    </row>
    <row r="101" spans="22:23" ht="13" x14ac:dyDescent="0.15">
      <c r="V101" s="3"/>
      <c r="W101" s="3"/>
    </row>
    <row r="102" spans="22:23" ht="13" x14ac:dyDescent="0.15">
      <c r="V102" s="3"/>
      <c r="W102" s="3"/>
    </row>
    <row r="103" spans="22:23" ht="13" x14ac:dyDescent="0.15">
      <c r="V103" s="3"/>
      <c r="W103" s="3"/>
    </row>
    <row r="104" spans="22:23" ht="13" x14ac:dyDescent="0.15">
      <c r="V104" s="3"/>
      <c r="W104" s="3"/>
    </row>
    <row r="105" spans="22:23" ht="13" x14ac:dyDescent="0.15">
      <c r="V105" s="3"/>
      <c r="W105" s="3"/>
    </row>
    <row r="106" spans="22:23" ht="13" x14ac:dyDescent="0.15">
      <c r="V106" s="3"/>
      <c r="W106" s="3"/>
    </row>
    <row r="107" spans="22:23" ht="13" x14ac:dyDescent="0.15">
      <c r="V107" s="3"/>
      <c r="W107" s="3"/>
    </row>
    <row r="108" spans="22:23" ht="13" x14ac:dyDescent="0.15">
      <c r="V108" s="3"/>
      <c r="W108" s="3"/>
    </row>
    <row r="109" spans="22:23" ht="13" x14ac:dyDescent="0.15">
      <c r="V109" s="3"/>
      <c r="W109" s="3"/>
    </row>
    <row r="110" spans="22:23" ht="13" x14ac:dyDescent="0.15">
      <c r="V110" s="3"/>
      <c r="W110" s="3"/>
    </row>
    <row r="111" spans="22:23" ht="13" x14ac:dyDescent="0.15">
      <c r="V111" s="3"/>
      <c r="W111" s="3"/>
    </row>
    <row r="112" spans="22:23" ht="13" x14ac:dyDescent="0.15">
      <c r="V112" s="3"/>
      <c r="W112" s="3"/>
    </row>
    <row r="113" spans="22:23" ht="13" x14ac:dyDescent="0.15">
      <c r="V113" s="3"/>
      <c r="W113" s="3"/>
    </row>
    <row r="114" spans="22:23" ht="13" x14ac:dyDescent="0.15">
      <c r="V114" s="3"/>
      <c r="W114" s="3"/>
    </row>
    <row r="115" spans="22:23" ht="13" x14ac:dyDescent="0.15">
      <c r="V115" s="3"/>
      <c r="W115" s="3"/>
    </row>
    <row r="116" spans="22:23" ht="13" x14ac:dyDescent="0.15">
      <c r="V116" s="3"/>
      <c r="W116" s="3"/>
    </row>
    <row r="117" spans="22:23" ht="13" x14ac:dyDescent="0.15">
      <c r="V117" s="3"/>
      <c r="W117" s="3"/>
    </row>
    <row r="118" spans="22:23" ht="13" x14ac:dyDescent="0.15">
      <c r="V118" s="3"/>
      <c r="W118" s="3"/>
    </row>
    <row r="119" spans="22:23" ht="13" x14ac:dyDescent="0.15">
      <c r="V119" s="3"/>
      <c r="W119" s="3"/>
    </row>
    <row r="120" spans="22:23" ht="13" x14ac:dyDescent="0.15">
      <c r="V120" s="3"/>
      <c r="W120" s="3"/>
    </row>
    <row r="121" spans="22:23" ht="13" x14ac:dyDescent="0.15">
      <c r="V121" s="3"/>
      <c r="W121" s="3"/>
    </row>
    <row r="122" spans="22:23" ht="13" x14ac:dyDescent="0.15">
      <c r="V122" s="3"/>
      <c r="W122" s="3"/>
    </row>
    <row r="123" spans="22:23" ht="13" x14ac:dyDescent="0.15">
      <c r="V123" s="3"/>
      <c r="W123" s="3"/>
    </row>
    <row r="124" spans="22:23" ht="13" x14ac:dyDescent="0.15">
      <c r="V124" s="3"/>
      <c r="W124" s="3"/>
    </row>
    <row r="125" spans="22:23" ht="13" x14ac:dyDescent="0.15">
      <c r="V125" s="3"/>
      <c r="W125" s="3"/>
    </row>
    <row r="126" spans="22:23" ht="13" x14ac:dyDescent="0.15">
      <c r="V126" s="3"/>
      <c r="W126" s="3"/>
    </row>
    <row r="127" spans="22:23" ht="13" x14ac:dyDescent="0.15">
      <c r="V127" s="3"/>
      <c r="W127" s="3"/>
    </row>
    <row r="128" spans="22:23" ht="13" x14ac:dyDescent="0.15">
      <c r="V128" s="3"/>
      <c r="W128" s="3"/>
    </row>
    <row r="129" spans="22:23" ht="13" x14ac:dyDescent="0.15">
      <c r="V129" s="3"/>
      <c r="W129" s="3"/>
    </row>
    <row r="130" spans="22:23" ht="13" x14ac:dyDescent="0.15">
      <c r="V130" s="3"/>
      <c r="W130" s="3"/>
    </row>
    <row r="131" spans="22:23" ht="13" x14ac:dyDescent="0.15">
      <c r="V131" s="3"/>
      <c r="W131" s="3"/>
    </row>
    <row r="132" spans="22:23" ht="13" x14ac:dyDescent="0.15">
      <c r="V132" s="3"/>
      <c r="W132" s="3"/>
    </row>
    <row r="133" spans="22:23" ht="13" x14ac:dyDescent="0.15">
      <c r="V133" s="3"/>
      <c r="W133" s="3"/>
    </row>
    <row r="134" spans="22:23" ht="13" x14ac:dyDescent="0.15">
      <c r="V134" s="3"/>
      <c r="W134" s="3"/>
    </row>
    <row r="135" spans="22:23" ht="13" x14ac:dyDescent="0.15">
      <c r="V135" s="3"/>
      <c r="W135" s="3"/>
    </row>
    <row r="136" spans="22:23" ht="13" x14ac:dyDescent="0.15">
      <c r="V136" s="3"/>
      <c r="W136" s="3"/>
    </row>
    <row r="137" spans="22:23" ht="13" x14ac:dyDescent="0.15">
      <c r="V137" s="3"/>
      <c r="W137" s="3"/>
    </row>
    <row r="138" spans="22:23" ht="13" x14ac:dyDescent="0.15">
      <c r="V138" s="3"/>
      <c r="W138" s="3"/>
    </row>
    <row r="139" spans="22:23" ht="13" x14ac:dyDescent="0.15">
      <c r="V139" s="3"/>
      <c r="W139" s="3"/>
    </row>
    <row r="140" spans="22:23" ht="13" x14ac:dyDescent="0.15">
      <c r="V140" s="3"/>
      <c r="W140" s="3"/>
    </row>
    <row r="141" spans="22:23" ht="13" x14ac:dyDescent="0.15">
      <c r="V141" s="3"/>
      <c r="W141" s="3"/>
    </row>
    <row r="142" spans="22:23" ht="13" x14ac:dyDescent="0.15">
      <c r="V142" s="3"/>
      <c r="W142" s="3"/>
    </row>
    <row r="143" spans="22:23" ht="13" x14ac:dyDescent="0.15">
      <c r="V143" s="3"/>
      <c r="W143" s="3"/>
    </row>
    <row r="144" spans="22:23" ht="13" x14ac:dyDescent="0.15">
      <c r="V144" s="3"/>
      <c r="W144" s="3"/>
    </row>
    <row r="145" spans="22:23" ht="13" x14ac:dyDescent="0.15">
      <c r="V145" s="3"/>
      <c r="W145" s="3"/>
    </row>
    <row r="146" spans="22:23" ht="13" x14ac:dyDescent="0.15">
      <c r="V146" s="3"/>
      <c r="W146" s="3"/>
    </row>
    <row r="147" spans="22:23" ht="13" x14ac:dyDescent="0.15">
      <c r="V147" s="3"/>
      <c r="W147" s="3"/>
    </row>
    <row r="148" spans="22:23" ht="13" x14ac:dyDescent="0.15">
      <c r="V148" s="3"/>
      <c r="W148" s="3"/>
    </row>
    <row r="149" spans="22:23" ht="13" x14ac:dyDescent="0.15">
      <c r="V149" s="3"/>
      <c r="W149" s="3"/>
    </row>
    <row r="150" spans="22:23" ht="13" x14ac:dyDescent="0.15">
      <c r="V150" s="3"/>
      <c r="W150" s="3"/>
    </row>
    <row r="151" spans="22:23" ht="13" x14ac:dyDescent="0.15">
      <c r="V151" s="3"/>
      <c r="W151" s="3"/>
    </row>
    <row r="152" spans="22:23" ht="13" x14ac:dyDescent="0.15">
      <c r="V152" s="3"/>
      <c r="W152" s="3"/>
    </row>
    <row r="153" spans="22:23" ht="13" x14ac:dyDescent="0.15">
      <c r="V153" s="3"/>
      <c r="W153" s="3"/>
    </row>
    <row r="154" spans="22:23" ht="13" x14ac:dyDescent="0.15">
      <c r="V154" s="3"/>
      <c r="W154" s="3"/>
    </row>
    <row r="155" spans="22:23" ht="13" x14ac:dyDescent="0.15">
      <c r="V155" s="3"/>
      <c r="W155" s="3"/>
    </row>
    <row r="156" spans="22:23" ht="13" x14ac:dyDescent="0.15">
      <c r="V156" s="3"/>
      <c r="W156" s="3"/>
    </row>
    <row r="157" spans="22:23" ht="13" x14ac:dyDescent="0.15">
      <c r="V157" s="3"/>
      <c r="W157" s="3"/>
    </row>
    <row r="158" spans="22:23" ht="13" x14ac:dyDescent="0.15">
      <c r="V158" s="3"/>
      <c r="W158" s="3"/>
    </row>
    <row r="159" spans="22:23" ht="13" x14ac:dyDescent="0.15">
      <c r="V159" s="3"/>
      <c r="W159" s="3"/>
    </row>
    <row r="160" spans="22:23" ht="13" x14ac:dyDescent="0.15">
      <c r="V160" s="3"/>
      <c r="W160" s="3"/>
    </row>
    <row r="161" spans="22:23" ht="13" x14ac:dyDescent="0.15">
      <c r="V161" s="3"/>
      <c r="W161" s="3"/>
    </row>
    <row r="162" spans="22:23" ht="13" x14ac:dyDescent="0.15">
      <c r="V162" s="3"/>
      <c r="W162" s="3"/>
    </row>
    <row r="163" spans="22:23" ht="13" x14ac:dyDescent="0.15">
      <c r="V163" s="3"/>
      <c r="W163" s="3"/>
    </row>
    <row r="164" spans="22:23" ht="13" x14ac:dyDescent="0.15">
      <c r="V164" s="3"/>
      <c r="W164" s="3"/>
    </row>
    <row r="165" spans="22:23" ht="13" x14ac:dyDescent="0.15">
      <c r="V165" s="3"/>
      <c r="W165" s="3"/>
    </row>
    <row r="166" spans="22:23" ht="13" x14ac:dyDescent="0.15">
      <c r="V166" s="3"/>
      <c r="W166" s="3"/>
    </row>
    <row r="167" spans="22:23" ht="13" x14ac:dyDescent="0.15">
      <c r="V167" s="3"/>
      <c r="W167" s="3"/>
    </row>
    <row r="168" spans="22:23" ht="13" x14ac:dyDescent="0.15">
      <c r="V168" s="3"/>
      <c r="W168" s="3"/>
    </row>
    <row r="169" spans="22:23" ht="13" x14ac:dyDescent="0.15">
      <c r="V169" s="3"/>
      <c r="W169" s="3"/>
    </row>
    <row r="170" spans="22:23" ht="13" x14ac:dyDescent="0.15">
      <c r="V170" s="3"/>
      <c r="W170" s="3"/>
    </row>
    <row r="171" spans="22:23" ht="13" x14ac:dyDescent="0.15">
      <c r="V171" s="3"/>
      <c r="W171" s="3"/>
    </row>
    <row r="172" spans="22:23" ht="13" x14ac:dyDescent="0.15">
      <c r="V172" s="3"/>
      <c r="W172" s="3"/>
    </row>
    <row r="173" spans="22:23" ht="13" x14ac:dyDescent="0.15">
      <c r="V173" s="3"/>
      <c r="W173" s="3"/>
    </row>
    <row r="174" spans="22:23" ht="13" x14ac:dyDescent="0.15">
      <c r="V174" s="3"/>
      <c r="W174" s="3"/>
    </row>
    <row r="175" spans="22:23" ht="13" x14ac:dyDescent="0.15">
      <c r="V175" s="3"/>
      <c r="W175" s="3"/>
    </row>
    <row r="176" spans="22:23" ht="13" x14ac:dyDescent="0.15">
      <c r="V176" s="3"/>
      <c r="W176" s="3"/>
    </row>
    <row r="177" spans="22:23" ht="13" x14ac:dyDescent="0.15">
      <c r="V177" s="3"/>
      <c r="W177" s="3"/>
    </row>
    <row r="178" spans="22:23" ht="13" x14ac:dyDescent="0.15">
      <c r="V178" s="3"/>
      <c r="W178" s="3"/>
    </row>
    <row r="179" spans="22:23" ht="13" x14ac:dyDescent="0.15">
      <c r="V179" s="3"/>
      <c r="W179" s="3"/>
    </row>
    <row r="180" spans="22:23" ht="13" x14ac:dyDescent="0.15">
      <c r="V180" s="3"/>
      <c r="W180" s="3"/>
    </row>
    <row r="181" spans="22:23" ht="13" x14ac:dyDescent="0.15">
      <c r="V181" s="3"/>
      <c r="W181" s="3"/>
    </row>
    <row r="182" spans="22:23" ht="13" x14ac:dyDescent="0.15">
      <c r="V182" s="3"/>
      <c r="W182" s="3"/>
    </row>
    <row r="183" spans="22:23" ht="13" x14ac:dyDescent="0.15">
      <c r="V183" s="3"/>
      <c r="W183" s="3"/>
    </row>
    <row r="184" spans="22:23" ht="13" x14ac:dyDescent="0.15">
      <c r="V184" s="3"/>
      <c r="W184" s="3"/>
    </row>
    <row r="185" spans="22:23" ht="13" x14ac:dyDescent="0.15">
      <c r="V185" s="3"/>
      <c r="W185" s="3"/>
    </row>
    <row r="186" spans="22:23" ht="13" x14ac:dyDescent="0.15">
      <c r="V186" s="3"/>
      <c r="W186" s="3"/>
    </row>
    <row r="187" spans="22:23" ht="13" x14ac:dyDescent="0.15">
      <c r="V187" s="3"/>
      <c r="W187" s="3"/>
    </row>
    <row r="188" spans="22:23" ht="13" x14ac:dyDescent="0.15">
      <c r="V188" s="3"/>
      <c r="W188" s="3"/>
    </row>
    <row r="189" spans="22:23" ht="13" x14ac:dyDescent="0.15">
      <c r="V189" s="3"/>
      <c r="W189" s="3"/>
    </row>
    <row r="190" spans="22:23" ht="13" x14ac:dyDescent="0.15">
      <c r="V190" s="3"/>
      <c r="W190" s="3"/>
    </row>
    <row r="191" spans="22:23" ht="13" x14ac:dyDescent="0.15">
      <c r="V191" s="3"/>
      <c r="W191" s="3"/>
    </row>
    <row r="192" spans="22:23" ht="13" x14ac:dyDescent="0.15">
      <c r="V192" s="3"/>
      <c r="W192" s="3"/>
    </row>
    <row r="193" spans="22:23" ht="13" x14ac:dyDescent="0.15">
      <c r="V193" s="3"/>
      <c r="W193" s="3"/>
    </row>
    <row r="194" spans="22:23" ht="13" x14ac:dyDescent="0.15">
      <c r="V194" s="3"/>
      <c r="W194" s="3"/>
    </row>
    <row r="195" spans="22:23" ht="13" x14ac:dyDescent="0.15">
      <c r="V195" s="3"/>
      <c r="W195" s="3"/>
    </row>
    <row r="196" spans="22:23" ht="13" x14ac:dyDescent="0.15">
      <c r="V196" s="3"/>
      <c r="W196" s="3"/>
    </row>
    <row r="197" spans="22:23" ht="13" x14ac:dyDescent="0.15">
      <c r="V197" s="3"/>
      <c r="W197" s="3"/>
    </row>
    <row r="198" spans="22:23" ht="13" x14ac:dyDescent="0.15">
      <c r="V198" s="3"/>
      <c r="W198" s="3"/>
    </row>
    <row r="199" spans="22:23" ht="13" x14ac:dyDescent="0.15">
      <c r="V199" s="3"/>
      <c r="W199" s="3"/>
    </row>
    <row r="200" spans="22:23" ht="13" x14ac:dyDescent="0.15">
      <c r="V200" s="3"/>
      <c r="W200" s="3"/>
    </row>
    <row r="201" spans="22:23" ht="13" x14ac:dyDescent="0.15">
      <c r="V201" s="3"/>
      <c r="W201" s="3"/>
    </row>
    <row r="202" spans="22:23" ht="13" x14ac:dyDescent="0.15">
      <c r="V202" s="3"/>
      <c r="W202" s="3"/>
    </row>
    <row r="203" spans="22:23" ht="13" x14ac:dyDescent="0.15">
      <c r="V203" s="3"/>
      <c r="W203" s="3"/>
    </row>
    <row r="204" spans="22:23" ht="13" x14ac:dyDescent="0.15">
      <c r="V204" s="3"/>
      <c r="W204" s="3"/>
    </row>
    <row r="205" spans="22:23" ht="13" x14ac:dyDescent="0.15">
      <c r="V205" s="3"/>
      <c r="W205" s="3"/>
    </row>
    <row r="206" spans="22:23" ht="13" x14ac:dyDescent="0.15">
      <c r="V206" s="3"/>
      <c r="W206" s="3"/>
    </row>
    <row r="207" spans="22:23" ht="13" x14ac:dyDescent="0.15">
      <c r="V207" s="3"/>
      <c r="W207" s="3"/>
    </row>
    <row r="208" spans="22:23" ht="13" x14ac:dyDescent="0.15">
      <c r="V208" s="3"/>
      <c r="W208" s="3"/>
    </row>
    <row r="209" spans="22:23" ht="13" x14ac:dyDescent="0.15">
      <c r="V209" s="3"/>
      <c r="W209" s="3"/>
    </row>
    <row r="210" spans="22:23" ht="13" x14ac:dyDescent="0.15">
      <c r="V210" s="3"/>
      <c r="W210" s="3"/>
    </row>
    <row r="211" spans="22:23" ht="13" x14ac:dyDescent="0.15">
      <c r="V211" s="3"/>
      <c r="W211" s="3"/>
    </row>
    <row r="212" spans="22:23" ht="13" x14ac:dyDescent="0.15">
      <c r="V212" s="3"/>
      <c r="W212" s="3"/>
    </row>
    <row r="213" spans="22:23" ht="13" x14ac:dyDescent="0.15">
      <c r="V213" s="3"/>
      <c r="W213" s="3"/>
    </row>
    <row r="214" spans="22:23" ht="13" x14ac:dyDescent="0.15">
      <c r="V214" s="3"/>
      <c r="W214" s="3"/>
    </row>
    <row r="215" spans="22:23" ht="13" x14ac:dyDescent="0.15">
      <c r="V215" s="3"/>
      <c r="W215" s="3"/>
    </row>
    <row r="216" spans="22:23" ht="13" x14ac:dyDescent="0.15">
      <c r="V216" s="3"/>
      <c r="W216" s="3"/>
    </row>
    <row r="217" spans="22:23" ht="13" x14ac:dyDescent="0.15">
      <c r="V217" s="3"/>
      <c r="W217" s="3"/>
    </row>
    <row r="218" spans="22:23" ht="13" x14ac:dyDescent="0.15">
      <c r="V218" s="3"/>
      <c r="W218" s="3"/>
    </row>
    <row r="219" spans="22:23" ht="13" x14ac:dyDescent="0.15">
      <c r="V219" s="3"/>
      <c r="W219" s="3"/>
    </row>
    <row r="220" spans="22:23" ht="13" x14ac:dyDescent="0.15">
      <c r="V220" s="3"/>
      <c r="W220" s="3"/>
    </row>
    <row r="221" spans="22:23" ht="13" x14ac:dyDescent="0.15">
      <c r="V221" s="3"/>
      <c r="W221" s="3"/>
    </row>
    <row r="222" spans="22:23" ht="13" x14ac:dyDescent="0.15">
      <c r="V222" s="3"/>
      <c r="W222" s="3"/>
    </row>
    <row r="223" spans="22:23" ht="13" x14ac:dyDescent="0.15">
      <c r="V223" s="3"/>
      <c r="W223" s="3"/>
    </row>
    <row r="224" spans="22:23" ht="13" x14ac:dyDescent="0.15">
      <c r="V224" s="3"/>
      <c r="W224" s="3"/>
    </row>
    <row r="225" spans="22:23" ht="13" x14ac:dyDescent="0.15">
      <c r="V225" s="3"/>
      <c r="W225" s="3"/>
    </row>
    <row r="226" spans="22:23" ht="13" x14ac:dyDescent="0.15">
      <c r="V226" s="3"/>
      <c r="W226" s="3"/>
    </row>
    <row r="227" spans="22:23" ht="13" x14ac:dyDescent="0.15">
      <c r="V227" s="3"/>
      <c r="W227" s="3"/>
    </row>
    <row r="228" spans="22:23" ht="13" x14ac:dyDescent="0.15">
      <c r="V228" s="3"/>
      <c r="W228" s="3"/>
    </row>
    <row r="229" spans="22:23" ht="13" x14ac:dyDescent="0.15">
      <c r="V229" s="3"/>
      <c r="W229" s="3"/>
    </row>
    <row r="230" spans="22:23" ht="13" x14ac:dyDescent="0.15">
      <c r="V230" s="3"/>
      <c r="W230" s="3"/>
    </row>
    <row r="231" spans="22:23" ht="13" x14ac:dyDescent="0.15">
      <c r="V231" s="3"/>
      <c r="W231" s="3"/>
    </row>
    <row r="232" spans="22:23" ht="13" x14ac:dyDescent="0.15">
      <c r="V232" s="3"/>
      <c r="W232" s="3"/>
    </row>
    <row r="233" spans="22:23" ht="13" x14ac:dyDescent="0.15">
      <c r="V233" s="3"/>
      <c r="W233" s="3"/>
    </row>
    <row r="234" spans="22:23" ht="13" x14ac:dyDescent="0.15">
      <c r="V234" s="3"/>
      <c r="W234" s="3"/>
    </row>
    <row r="235" spans="22:23" ht="13" x14ac:dyDescent="0.15">
      <c r="V235" s="3"/>
      <c r="W235" s="3"/>
    </row>
    <row r="236" spans="22:23" ht="13" x14ac:dyDescent="0.15">
      <c r="V236" s="3"/>
      <c r="W236" s="3"/>
    </row>
    <row r="237" spans="22:23" ht="13" x14ac:dyDescent="0.15">
      <c r="V237" s="3"/>
      <c r="W237" s="3"/>
    </row>
    <row r="238" spans="22:23" ht="13" x14ac:dyDescent="0.15">
      <c r="V238" s="3"/>
      <c r="W238" s="3"/>
    </row>
    <row r="239" spans="22:23" ht="13" x14ac:dyDescent="0.15">
      <c r="V239" s="3"/>
      <c r="W239" s="3"/>
    </row>
    <row r="240" spans="22:23" ht="13" x14ac:dyDescent="0.15">
      <c r="V240" s="3"/>
      <c r="W240" s="3"/>
    </row>
    <row r="241" spans="22:23" ht="13" x14ac:dyDescent="0.15">
      <c r="V241" s="3"/>
      <c r="W241" s="3"/>
    </row>
    <row r="242" spans="22:23" ht="13" x14ac:dyDescent="0.15">
      <c r="V242" s="3"/>
      <c r="W242" s="3"/>
    </row>
    <row r="243" spans="22:23" ht="13" x14ac:dyDescent="0.15">
      <c r="V243" s="3"/>
      <c r="W243" s="3"/>
    </row>
    <row r="244" spans="22:23" ht="13" x14ac:dyDescent="0.15">
      <c r="V244" s="3"/>
      <c r="W244" s="3"/>
    </row>
    <row r="245" spans="22:23" ht="13" x14ac:dyDescent="0.15">
      <c r="V245" s="3"/>
      <c r="W245" s="3"/>
    </row>
    <row r="246" spans="22:23" ht="13" x14ac:dyDescent="0.15">
      <c r="V246" s="3"/>
      <c r="W246" s="3"/>
    </row>
    <row r="247" spans="22:23" ht="13" x14ac:dyDescent="0.15">
      <c r="V247" s="3"/>
      <c r="W247" s="3"/>
    </row>
    <row r="248" spans="22:23" ht="13" x14ac:dyDescent="0.15">
      <c r="V248" s="3"/>
      <c r="W248" s="3"/>
    </row>
    <row r="249" spans="22:23" ht="13" x14ac:dyDescent="0.15">
      <c r="V249" s="3"/>
      <c r="W249" s="3"/>
    </row>
    <row r="250" spans="22:23" ht="13" x14ac:dyDescent="0.15">
      <c r="V250" s="3"/>
      <c r="W250" s="3"/>
    </row>
    <row r="251" spans="22:23" ht="13" x14ac:dyDescent="0.15">
      <c r="V251" s="3"/>
      <c r="W251" s="3"/>
    </row>
    <row r="252" spans="22:23" ht="13" x14ac:dyDescent="0.15">
      <c r="V252" s="3"/>
      <c r="W252" s="3"/>
    </row>
    <row r="253" spans="22:23" ht="13" x14ac:dyDescent="0.15">
      <c r="V253" s="3"/>
      <c r="W253" s="3"/>
    </row>
    <row r="254" spans="22:23" ht="13" x14ac:dyDescent="0.15">
      <c r="V254" s="3"/>
      <c r="W254" s="3"/>
    </row>
    <row r="255" spans="22:23" ht="13" x14ac:dyDescent="0.15">
      <c r="V255" s="3"/>
      <c r="W255" s="3"/>
    </row>
    <row r="256" spans="22:23" ht="13" x14ac:dyDescent="0.15">
      <c r="V256" s="3"/>
      <c r="W256" s="3"/>
    </row>
    <row r="257" spans="22:23" ht="13" x14ac:dyDescent="0.15">
      <c r="V257" s="3"/>
      <c r="W257" s="3"/>
    </row>
    <row r="258" spans="22:23" ht="13" x14ac:dyDescent="0.15">
      <c r="V258" s="3"/>
      <c r="W258" s="3"/>
    </row>
    <row r="259" spans="22:23" ht="13" x14ac:dyDescent="0.15">
      <c r="V259" s="3"/>
      <c r="W259" s="3"/>
    </row>
    <row r="260" spans="22:23" ht="13" x14ac:dyDescent="0.15">
      <c r="V260" s="3"/>
      <c r="W260" s="3"/>
    </row>
    <row r="261" spans="22:23" ht="13" x14ac:dyDescent="0.15">
      <c r="V261" s="3"/>
      <c r="W261" s="3"/>
    </row>
    <row r="262" spans="22:23" ht="13" x14ac:dyDescent="0.15">
      <c r="V262" s="3"/>
      <c r="W262" s="3"/>
    </row>
    <row r="263" spans="22:23" ht="13" x14ac:dyDescent="0.15">
      <c r="V263" s="3"/>
      <c r="W263" s="3"/>
    </row>
    <row r="264" spans="22:23" ht="13" x14ac:dyDescent="0.15">
      <c r="V264" s="3"/>
      <c r="W264" s="3"/>
    </row>
    <row r="265" spans="22:23" ht="13" x14ac:dyDescent="0.15">
      <c r="V265" s="3"/>
      <c r="W265" s="3"/>
    </row>
    <row r="266" spans="22:23" ht="13" x14ac:dyDescent="0.15">
      <c r="V266" s="3"/>
      <c r="W266" s="3"/>
    </row>
    <row r="267" spans="22:23" ht="13" x14ac:dyDescent="0.15">
      <c r="V267" s="3"/>
      <c r="W267" s="3"/>
    </row>
    <row r="268" spans="22:23" ht="13" x14ac:dyDescent="0.15">
      <c r="V268" s="3"/>
      <c r="W268" s="3"/>
    </row>
    <row r="269" spans="22:23" ht="13" x14ac:dyDescent="0.15">
      <c r="V269" s="3"/>
      <c r="W269" s="3"/>
    </row>
    <row r="270" spans="22:23" ht="13" x14ac:dyDescent="0.15">
      <c r="V270" s="3"/>
      <c r="W270" s="3"/>
    </row>
    <row r="271" spans="22:23" ht="13" x14ac:dyDescent="0.15">
      <c r="V271" s="3"/>
      <c r="W271" s="3"/>
    </row>
    <row r="272" spans="22:23" ht="13" x14ac:dyDescent="0.15">
      <c r="V272" s="3"/>
      <c r="W272" s="3"/>
    </row>
    <row r="273" spans="22:23" ht="13" x14ac:dyDescent="0.15">
      <c r="V273" s="3"/>
      <c r="W273" s="3"/>
    </row>
    <row r="274" spans="22:23" ht="13" x14ac:dyDescent="0.15">
      <c r="V274" s="3"/>
      <c r="W274" s="3"/>
    </row>
    <row r="275" spans="22:23" ht="13" x14ac:dyDescent="0.15">
      <c r="V275" s="3"/>
      <c r="W275" s="3"/>
    </row>
    <row r="276" spans="22:23" ht="13" x14ac:dyDescent="0.15">
      <c r="V276" s="3"/>
      <c r="W276" s="3"/>
    </row>
    <row r="277" spans="22:23" ht="13" x14ac:dyDescent="0.15">
      <c r="V277" s="3"/>
      <c r="W277" s="3"/>
    </row>
    <row r="278" spans="22:23" ht="13" x14ac:dyDescent="0.15">
      <c r="V278" s="3"/>
      <c r="W278" s="3"/>
    </row>
    <row r="279" spans="22:23" ht="13" x14ac:dyDescent="0.15">
      <c r="V279" s="3"/>
      <c r="W279" s="3"/>
    </row>
    <row r="280" spans="22:23" ht="13" x14ac:dyDescent="0.15">
      <c r="V280" s="3"/>
      <c r="W280" s="3"/>
    </row>
    <row r="281" spans="22:23" ht="13" x14ac:dyDescent="0.15">
      <c r="V281" s="3"/>
      <c r="W281" s="3"/>
    </row>
    <row r="282" spans="22:23" ht="13" x14ac:dyDescent="0.15">
      <c r="V282" s="3"/>
      <c r="W282" s="3"/>
    </row>
    <row r="283" spans="22:23" ht="13" x14ac:dyDescent="0.15">
      <c r="V283" s="3"/>
      <c r="W283" s="3"/>
    </row>
    <row r="284" spans="22:23" ht="13" x14ac:dyDescent="0.15">
      <c r="V284" s="3"/>
      <c r="W284" s="3"/>
    </row>
    <row r="285" spans="22:23" ht="13" x14ac:dyDescent="0.15">
      <c r="V285" s="3"/>
      <c r="W285" s="3"/>
    </row>
    <row r="286" spans="22:23" ht="13" x14ac:dyDescent="0.15">
      <c r="V286" s="3"/>
      <c r="W286" s="3"/>
    </row>
    <row r="287" spans="22:23" ht="13" x14ac:dyDescent="0.15">
      <c r="V287" s="3"/>
      <c r="W287" s="3"/>
    </row>
    <row r="288" spans="22:23" ht="13" x14ac:dyDescent="0.15">
      <c r="V288" s="3"/>
      <c r="W288" s="3"/>
    </row>
    <row r="289" spans="22:23" ht="13" x14ac:dyDescent="0.15">
      <c r="V289" s="3"/>
      <c r="W289" s="3"/>
    </row>
    <row r="290" spans="22:23" ht="13" x14ac:dyDescent="0.15">
      <c r="V290" s="3"/>
      <c r="W290" s="3"/>
    </row>
    <row r="291" spans="22:23" ht="13" x14ac:dyDescent="0.15">
      <c r="V291" s="3"/>
      <c r="W291" s="3"/>
    </row>
    <row r="292" spans="22:23" ht="13" x14ac:dyDescent="0.15">
      <c r="V292" s="3"/>
      <c r="W292" s="3"/>
    </row>
    <row r="293" spans="22:23" ht="13" x14ac:dyDescent="0.15">
      <c r="V293" s="3"/>
      <c r="W293" s="3"/>
    </row>
    <row r="294" spans="22:23" ht="13" x14ac:dyDescent="0.15">
      <c r="V294" s="3"/>
      <c r="W294" s="3"/>
    </row>
    <row r="295" spans="22:23" ht="13" x14ac:dyDescent="0.15">
      <c r="V295" s="3"/>
      <c r="W295" s="3"/>
    </row>
    <row r="296" spans="22:23" ht="13" x14ac:dyDescent="0.15">
      <c r="V296" s="3"/>
      <c r="W296" s="3"/>
    </row>
    <row r="297" spans="22:23" ht="13" x14ac:dyDescent="0.15">
      <c r="V297" s="3"/>
      <c r="W297" s="3"/>
    </row>
    <row r="298" spans="22:23" ht="13" x14ac:dyDescent="0.15">
      <c r="V298" s="3"/>
      <c r="W298" s="3"/>
    </row>
    <row r="299" spans="22:23" ht="13" x14ac:dyDescent="0.15">
      <c r="V299" s="3"/>
      <c r="W299" s="3"/>
    </row>
    <row r="300" spans="22:23" ht="13" x14ac:dyDescent="0.15">
      <c r="V300" s="3"/>
      <c r="W300" s="3"/>
    </row>
    <row r="301" spans="22:23" ht="13" x14ac:dyDescent="0.15">
      <c r="V301" s="3"/>
      <c r="W301" s="3"/>
    </row>
    <row r="302" spans="22:23" ht="13" x14ac:dyDescent="0.15">
      <c r="V302" s="3"/>
      <c r="W302" s="3"/>
    </row>
    <row r="303" spans="22:23" ht="13" x14ac:dyDescent="0.15">
      <c r="V303" s="3"/>
      <c r="W303" s="3"/>
    </row>
    <row r="304" spans="22:23" ht="13" x14ac:dyDescent="0.15">
      <c r="V304" s="3"/>
      <c r="W304" s="3"/>
    </row>
    <row r="305" spans="22:23" ht="13" x14ac:dyDescent="0.15">
      <c r="V305" s="3"/>
      <c r="W305" s="3"/>
    </row>
    <row r="306" spans="22:23" ht="13" x14ac:dyDescent="0.15">
      <c r="V306" s="3"/>
      <c r="W306" s="3"/>
    </row>
    <row r="307" spans="22:23" ht="13" x14ac:dyDescent="0.15">
      <c r="V307" s="3"/>
      <c r="W307" s="3"/>
    </row>
    <row r="308" spans="22:23" ht="13" x14ac:dyDescent="0.15">
      <c r="V308" s="3"/>
      <c r="W308" s="3"/>
    </row>
    <row r="309" spans="22:23" ht="13" x14ac:dyDescent="0.15">
      <c r="V309" s="3"/>
      <c r="W309" s="3"/>
    </row>
    <row r="310" spans="22:23" ht="13" x14ac:dyDescent="0.15">
      <c r="V310" s="3"/>
      <c r="W310" s="3"/>
    </row>
    <row r="311" spans="22:23" ht="13" x14ac:dyDescent="0.15">
      <c r="V311" s="3"/>
      <c r="W311" s="3"/>
    </row>
    <row r="312" spans="22:23" ht="13" x14ac:dyDescent="0.15">
      <c r="V312" s="3"/>
      <c r="W312" s="3"/>
    </row>
    <row r="313" spans="22:23" ht="13" x14ac:dyDescent="0.15">
      <c r="V313" s="3"/>
      <c r="W313" s="3"/>
    </row>
    <row r="314" spans="22:23" ht="13" x14ac:dyDescent="0.15">
      <c r="V314" s="3"/>
      <c r="W314" s="3"/>
    </row>
    <row r="315" spans="22:23" ht="13" x14ac:dyDescent="0.15">
      <c r="V315" s="3"/>
      <c r="W315" s="3"/>
    </row>
    <row r="316" spans="22:23" ht="13" x14ac:dyDescent="0.15">
      <c r="V316" s="3"/>
      <c r="W316" s="3"/>
    </row>
    <row r="317" spans="22:23" ht="13" x14ac:dyDescent="0.15">
      <c r="V317" s="3"/>
      <c r="W317" s="3"/>
    </row>
    <row r="318" spans="22:23" ht="13" x14ac:dyDescent="0.15">
      <c r="V318" s="3"/>
      <c r="W318" s="3"/>
    </row>
    <row r="319" spans="22:23" ht="13" x14ac:dyDescent="0.15">
      <c r="V319" s="3"/>
      <c r="W319" s="3"/>
    </row>
    <row r="320" spans="22:23" ht="13" x14ac:dyDescent="0.15">
      <c r="V320" s="3"/>
      <c r="W320" s="3"/>
    </row>
    <row r="321" spans="22:23" ht="13" x14ac:dyDescent="0.15">
      <c r="V321" s="3"/>
      <c r="W321" s="3"/>
    </row>
    <row r="322" spans="22:23" ht="13" x14ac:dyDescent="0.15">
      <c r="V322" s="3"/>
      <c r="W322" s="3"/>
    </row>
    <row r="323" spans="22:23" ht="13" x14ac:dyDescent="0.15">
      <c r="V323" s="3"/>
      <c r="W323" s="3"/>
    </row>
    <row r="324" spans="22:23" ht="13" x14ac:dyDescent="0.15">
      <c r="V324" s="3"/>
      <c r="W324" s="3"/>
    </row>
    <row r="325" spans="22:23" ht="13" x14ac:dyDescent="0.15">
      <c r="V325" s="3"/>
      <c r="W325" s="3"/>
    </row>
    <row r="326" spans="22:23" ht="13" x14ac:dyDescent="0.15">
      <c r="V326" s="3"/>
      <c r="W326" s="3"/>
    </row>
    <row r="327" spans="22:23" ht="13" x14ac:dyDescent="0.15">
      <c r="V327" s="3"/>
      <c r="W327" s="3"/>
    </row>
    <row r="328" spans="22:23" ht="13" x14ac:dyDescent="0.15">
      <c r="V328" s="3"/>
      <c r="W328" s="3"/>
    </row>
    <row r="329" spans="22:23" ht="13" x14ac:dyDescent="0.15">
      <c r="V329" s="3"/>
      <c r="W329" s="3"/>
    </row>
    <row r="330" spans="22:23" ht="13" x14ac:dyDescent="0.15">
      <c r="V330" s="3"/>
      <c r="W330" s="3"/>
    </row>
    <row r="331" spans="22:23" ht="13" x14ac:dyDescent="0.15">
      <c r="V331" s="3"/>
      <c r="W331" s="3"/>
    </row>
    <row r="332" spans="22:23" ht="13" x14ac:dyDescent="0.15">
      <c r="V332" s="3"/>
      <c r="W332" s="3"/>
    </row>
    <row r="333" spans="22:23" ht="13" x14ac:dyDescent="0.15">
      <c r="V333" s="3"/>
      <c r="W333" s="3"/>
    </row>
    <row r="334" spans="22:23" ht="13" x14ac:dyDescent="0.15">
      <c r="V334" s="3"/>
      <c r="W334" s="3"/>
    </row>
    <row r="335" spans="22:23" ht="13" x14ac:dyDescent="0.15">
      <c r="V335" s="3"/>
      <c r="W335" s="3"/>
    </row>
    <row r="336" spans="22:23" ht="13" x14ac:dyDescent="0.15">
      <c r="V336" s="3"/>
      <c r="W336" s="3"/>
    </row>
    <row r="337" spans="22:23" ht="13" x14ac:dyDescent="0.15">
      <c r="V337" s="3"/>
      <c r="W337" s="3"/>
    </row>
    <row r="338" spans="22:23" ht="13" x14ac:dyDescent="0.15">
      <c r="V338" s="3"/>
      <c r="W338" s="3"/>
    </row>
    <row r="339" spans="22:23" ht="13" x14ac:dyDescent="0.15">
      <c r="V339" s="3"/>
      <c r="W339" s="3"/>
    </row>
    <row r="340" spans="22:23" ht="13" x14ac:dyDescent="0.15">
      <c r="V340" s="3"/>
      <c r="W340" s="3"/>
    </row>
    <row r="341" spans="22:23" ht="13" x14ac:dyDescent="0.15">
      <c r="V341" s="3"/>
      <c r="W341" s="3"/>
    </row>
    <row r="342" spans="22:23" ht="13" x14ac:dyDescent="0.15">
      <c r="V342" s="3"/>
      <c r="W342" s="3"/>
    </row>
    <row r="343" spans="22:23" ht="13" x14ac:dyDescent="0.15">
      <c r="V343" s="3"/>
      <c r="W343" s="3"/>
    </row>
    <row r="344" spans="22:23" ht="13" x14ac:dyDescent="0.15">
      <c r="V344" s="3"/>
      <c r="W344" s="3"/>
    </row>
    <row r="345" spans="22:23" ht="13" x14ac:dyDescent="0.15">
      <c r="V345" s="3"/>
      <c r="W345" s="3"/>
    </row>
    <row r="346" spans="22:23" ht="13" x14ac:dyDescent="0.15">
      <c r="V346" s="3"/>
      <c r="W346" s="3"/>
    </row>
    <row r="347" spans="22:23" ht="13" x14ac:dyDescent="0.15">
      <c r="V347" s="3"/>
      <c r="W347" s="3"/>
    </row>
    <row r="348" spans="22:23" ht="13" x14ac:dyDescent="0.15">
      <c r="V348" s="3"/>
      <c r="W348" s="3"/>
    </row>
    <row r="349" spans="22:23" ht="13" x14ac:dyDescent="0.15">
      <c r="V349" s="3"/>
      <c r="W349" s="3"/>
    </row>
    <row r="350" spans="22:23" ht="13" x14ac:dyDescent="0.15">
      <c r="V350" s="3"/>
      <c r="W350" s="3"/>
    </row>
    <row r="351" spans="22:23" ht="13" x14ac:dyDescent="0.15">
      <c r="V351" s="3"/>
      <c r="W351" s="3"/>
    </row>
    <row r="352" spans="22:23" ht="13" x14ac:dyDescent="0.15">
      <c r="V352" s="3"/>
      <c r="W352" s="3"/>
    </row>
    <row r="353" spans="22:23" ht="13" x14ac:dyDescent="0.15">
      <c r="V353" s="3"/>
      <c r="W353" s="3"/>
    </row>
    <row r="354" spans="22:23" ht="13" x14ac:dyDescent="0.15">
      <c r="V354" s="3"/>
      <c r="W354" s="3"/>
    </row>
    <row r="355" spans="22:23" ht="13" x14ac:dyDescent="0.15">
      <c r="V355" s="3"/>
      <c r="W355" s="3"/>
    </row>
    <row r="356" spans="22:23" ht="13" x14ac:dyDescent="0.15">
      <c r="V356" s="3"/>
      <c r="W356" s="3"/>
    </row>
    <row r="357" spans="22:23" ht="13" x14ac:dyDescent="0.15">
      <c r="V357" s="3"/>
      <c r="W357" s="3"/>
    </row>
    <row r="358" spans="22:23" ht="13" x14ac:dyDescent="0.15">
      <c r="V358" s="3"/>
      <c r="W358" s="3"/>
    </row>
    <row r="359" spans="22:23" ht="13" x14ac:dyDescent="0.15">
      <c r="V359" s="3"/>
      <c r="W359" s="3"/>
    </row>
    <row r="360" spans="22:23" ht="13" x14ac:dyDescent="0.15">
      <c r="V360" s="3"/>
      <c r="W360" s="3"/>
    </row>
    <row r="361" spans="22:23" ht="13" x14ac:dyDescent="0.15">
      <c r="V361" s="3"/>
      <c r="W361" s="3"/>
    </row>
    <row r="362" spans="22:23" ht="13" x14ac:dyDescent="0.15">
      <c r="V362" s="3"/>
      <c r="W362" s="3"/>
    </row>
    <row r="363" spans="22:23" ht="13" x14ac:dyDescent="0.15">
      <c r="V363" s="3"/>
      <c r="W363" s="3"/>
    </row>
    <row r="364" spans="22:23" ht="13" x14ac:dyDescent="0.15">
      <c r="V364" s="3"/>
      <c r="W364" s="3"/>
    </row>
    <row r="365" spans="22:23" ht="13" x14ac:dyDescent="0.15">
      <c r="V365" s="3"/>
      <c r="W365" s="3"/>
    </row>
    <row r="366" spans="22:23" ht="13" x14ac:dyDescent="0.15">
      <c r="V366" s="3"/>
      <c r="W366" s="3"/>
    </row>
    <row r="367" spans="22:23" ht="13" x14ac:dyDescent="0.15">
      <c r="V367" s="3"/>
      <c r="W367" s="3"/>
    </row>
    <row r="368" spans="22:23" ht="13" x14ac:dyDescent="0.15">
      <c r="V368" s="3"/>
      <c r="W368" s="3"/>
    </row>
    <row r="369" spans="22:23" ht="13" x14ac:dyDescent="0.15">
      <c r="V369" s="3"/>
      <c r="W369" s="3"/>
    </row>
    <row r="370" spans="22:23" ht="13" x14ac:dyDescent="0.15">
      <c r="V370" s="3"/>
      <c r="W370" s="3"/>
    </row>
    <row r="371" spans="22:23" ht="13" x14ac:dyDescent="0.15">
      <c r="V371" s="3"/>
      <c r="W371" s="3"/>
    </row>
    <row r="372" spans="22:23" ht="13" x14ac:dyDescent="0.15">
      <c r="V372" s="3"/>
      <c r="W372" s="3"/>
    </row>
    <row r="373" spans="22:23" ht="13" x14ac:dyDescent="0.15">
      <c r="V373" s="3"/>
      <c r="W373" s="3"/>
    </row>
    <row r="374" spans="22:23" ht="13" x14ac:dyDescent="0.15">
      <c r="V374" s="3"/>
      <c r="W374" s="3"/>
    </row>
    <row r="375" spans="22:23" ht="13" x14ac:dyDescent="0.15">
      <c r="V375" s="3"/>
      <c r="W375" s="3"/>
    </row>
    <row r="376" spans="22:23" ht="13" x14ac:dyDescent="0.15">
      <c r="V376" s="3"/>
      <c r="W376" s="3"/>
    </row>
    <row r="377" spans="22:23" ht="13" x14ac:dyDescent="0.15">
      <c r="V377" s="3"/>
      <c r="W377" s="3"/>
    </row>
    <row r="378" spans="22:23" ht="13" x14ac:dyDescent="0.15">
      <c r="V378" s="3"/>
      <c r="W378" s="3"/>
    </row>
    <row r="379" spans="22:23" ht="13" x14ac:dyDescent="0.15">
      <c r="V379" s="3"/>
      <c r="W379" s="3"/>
    </row>
    <row r="380" spans="22:23" ht="13" x14ac:dyDescent="0.15">
      <c r="V380" s="3"/>
      <c r="W380" s="3"/>
    </row>
    <row r="381" spans="22:23" ht="13" x14ac:dyDescent="0.15">
      <c r="V381" s="3"/>
      <c r="W381" s="3"/>
    </row>
    <row r="382" spans="22:23" ht="13" x14ac:dyDescent="0.15">
      <c r="V382" s="3"/>
      <c r="W382" s="3"/>
    </row>
    <row r="383" spans="22:23" ht="13" x14ac:dyDescent="0.15">
      <c r="V383" s="3"/>
      <c r="W383" s="3"/>
    </row>
    <row r="384" spans="22:23" ht="13" x14ac:dyDescent="0.15">
      <c r="V384" s="3"/>
      <c r="W384" s="3"/>
    </row>
    <row r="385" spans="22:23" ht="13" x14ac:dyDescent="0.15">
      <c r="V385" s="3"/>
      <c r="W385" s="3"/>
    </row>
    <row r="386" spans="22:23" ht="13" x14ac:dyDescent="0.15">
      <c r="V386" s="3"/>
      <c r="W386" s="3"/>
    </row>
    <row r="387" spans="22:23" ht="13" x14ac:dyDescent="0.15">
      <c r="V387" s="3"/>
      <c r="W387" s="3"/>
    </row>
    <row r="388" spans="22:23" ht="13" x14ac:dyDescent="0.15">
      <c r="V388" s="3"/>
      <c r="W388" s="3"/>
    </row>
    <row r="389" spans="22:23" ht="13" x14ac:dyDescent="0.15">
      <c r="V389" s="3"/>
      <c r="W389" s="3"/>
    </row>
    <row r="390" spans="22:23" ht="13" x14ac:dyDescent="0.15">
      <c r="V390" s="3"/>
      <c r="W390" s="3"/>
    </row>
    <row r="391" spans="22:23" ht="13" x14ac:dyDescent="0.15">
      <c r="V391" s="3"/>
      <c r="W391" s="3"/>
    </row>
    <row r="392" spans="22:23" ht="13" x14ac:dyDescent="0.15">
      <c r="V392" s="3"/>
      <c r="W392" s="3"/>
    </row>
    <row r="393" spans="22:23" ht="13" x14ac:dyDescent="0.15">
      <c r="V393" s="3"/>
      <c r="W393" s="3"/>
    </row>
    <row r="394" spans="22:23" ht="13" x14ac:dyDescent="0.15">
      <c r="V394" s="3"/>
      <c r="W394" s="3"/>
    </row>
    <row r="395" spans="22:23" ht="13" x14ac:dyDescent="0.15">
      <c r="V395" s="3"/>
      <c r="W395" s="3"/>
    </row>
    <row r="396" spans="22:23" ht="13" x14ac:dyDescent="0.15">
      <c r="V396" s="3"/>
      <c r="W396" s="3"/>
    </row>
    <row r="397" spans="22:23" ht="13" x14ac:dyDescent="0.15">
      <c r="V397" s="3"/>
      <c r="W397" s="3"/>
    </row>
    <row r="398" spans="22:23" ht="13" x14ac:dyDescent="0.15">
      <c r="V398" s="3"/>
      <c r="W398" s="3"/>
    </row>
    <row r="399" spans="22:23" ht="13" x14ac:dyDescent="0.15">
      <c r="V399" s="3"/>
      <c r="W399" s="3"/>
    </row>
    <row r="400" spans="22:23" ht="13" x14ac:dyDescent="0.15">
      <c r="V400" s="3"/>
      <c r="W400" s="3"/>
    </row>
    <row r="401" spans="22:23" ht="13" x14ac:dyDescent="0.15">
      <c r="V401" s="3"/>
      <c r="W401" s="3"/>
    </row>
    <row r="402" spans="22:23" ht="13" x14ac:dyDescent="0.15">
      <c r="V402" s="3"/>
      <c r="W402" s="3"/>
    </row>
    <row r="403" spans="22:23" ht="13" x14ac:dyDescent="0.15">
      <c r="V403" s="3"/>
      <c r="W403" s="3"/>
    </row>
    <row r="404" spans="22:23" ht="13" x14ac:dyDescent="0.15">
      <c r="V404" s="3"/>
      <c r="W404" s="3"/>
    </row>
    <row r="405" spans="22:23" ht="13" x14ac:dyDescent="0.15">
      <c r="V405" s="3"/>
      <c r="W405" s="3"/>
    </row>
    <row r="406" spans="22:23" ht="13" x14ac:dyDescent="0.15">
      <c r="V406" s="3"/>
      <c r="W406" s="3"/>
    </row>
    <row r="407" spans="22:23" ht="13" x14ac:dyDescent="0.15">
      <c r="V407" s="3"/>
      <c r="W407" s="3"/>
    </row>
    <row r="408" spans="22:23" ht="13" x14ac:dyDescent="0.15">
      <c r="V408" s="3"/>
      <c r="W408" s="3"/>
    </row>
    <row r="409" spans="22:23" ht="13" x14ac:dyDescent="0.15">
      <c r="V409" s="3"/>
      <c r="W409" s="3"/>
    </row>
    <row r="410" spans="22:23" ht="13" x14ac:dyDescent="0.15">
      <c r="V410" s="3"/>
      <c r="W410" s="3"/>
    </row>
    <row r="411" spans="22:23" ht="13" x14ac:dyDescent="0.15">
      <c r="V411" s="3"/>
      <c r="W411" s="3"/>
    </row>
    <row r="412" spans="22:23" ht="13" x14ac:dyDescent="0.15">
      <c r="V412" s="3"/>
      <c r="W412" s="3"/>
    </row>
    <row r="413" spans="22:23" ht="13" x14ac:dyDescent="0.15">
      <c r="V413" s="3"/>
      <c r="W413" s="3"/>
    </row>
    <row r="414" spans="22:23" ht="13" x14ac:dyDescent="0.15">
      <c r="V414" s="3"/>
      <c r="W414" s="3"/>
    </row>
    <row r="415" spans="22:23" ht="13" x14ac:dyDescent="0.15">
      <c r="V415" s="3"/>
      <c r="W415" s="3"/>
    </row>
    <row r="416" spans="22:23" ht="13" x14ac:dyDescent="0.15">
      <c r="V416" s="3"/>
      <c r="W416" s="3"/>
    </row>
    <row r="417" spans="22:23" ht="13" x14ac:dyDescent="0.15">
      <c r="V417" s="3"/>
      <c r="W417" s="3"/>
    </row>
    <row r="418" spans="22:23" ht="13" x14ac:dyDescent="0.15">
      <c r="V418" s="3"/>
      <c r="W418" s="3"/>
    </row>
    <row r="419" spans="22:23" ht="13" x14ac:dyDescent="0.15">
      <c r="V419" s="3"/>
      <c r="W419" s="3"/>
    </row>
    <row r="420" spans="22:23" ht="13" x14ac:dyDescent="0.15">
      <c r="V420" s="3"/>
      <c r="W420" s="3"/>
    </row>
    <row r="421" spans="22:23" ht="13" x14ac:dyDescent="0.15">
      <c r="V421" s="3"/>
      <c r="W421" s="3"/>
    </row>
    <row r="422" spans="22:23" ht="13" x14ac:dyDescent="0.15">
      <c r="V422" s="3"/>
      <c r="W422" s="3"/>
    </row>
    <row r="423" spans="22:23" ht="13" x14ac:dyDescent="0.15">
      <c r="V423" s="3"/>
      <c r="W423" s="3"/>
    </row>
    <row r="424" spans="22:23" ht="13" x14ac:dyDescent="0.15">
      <c r="V424" s="3"/>
      <c r="W424" s="3"/>
    </row>
    <row r="425" spans="22:23" ht="13" x14ac:dyDescent="0.15">
      <c r="V425" s="3"/>
      <c r="W425" s="3"/>
    </row>
    <row r="426" spans="22:23" ht="13" x14ac:dyDescent="0.15">
      <c r="V426" s="3"/>
      <c r="W426" s="3"/>
    </row>
    <row r="427" spans="22:23" ht="13" x14ac:dyDescent="0.15">
      <c r="V427" s="3"/>
      <c r="W427" s="3"/>
    </row>
    <row r="428" spans="22:23" ht="13" x14ac:dyDescent="0.15">
      <c r="V428" s="3"/>
      <c r="W428" s="3"/>
    </row>
    <row r="429" spans="22:23" ht="13" x14ac:dyDescent="0.15">
      <c r="V429" s="3"/>
      <c r="W429" s="3"/>
    </row>
    <row r="430" spans="22:23" ht="13" x14ac:dyDescent="0.15">
      <c r="V430" s="3"/>
      <c r="W430" s="3"/>
    </row>
    <row r="431" spans="22:23" ht="13" x14ac:dyDescent="0.15">
      <c r="V431" s="3"/>
      <c r="W431" s="3"/>
    </row>
    <row r="432" spans="22:23" ht="13" x14ac:dyDescent="0.15">
      <c r="V432" s="3"/>
      <c r="W432" s="3"/>
    </row>
    <row r="433" spans="22:23" ht="13" x14ac:dyDescent="0.15">
      <c r="V433" s="3"/>
      <c r="W433" s="3"/>
    </row>
    <row r="434" spans="22:23" ht="13" x14ac:dyDescent="0.15">
      <c r="V434" s="3"/>
      <c r="W434" s="3"/>
    </row>
    <row r="435" spans="22:23" ht="13" x14ac:dyDescent="0.15">
      <c r="V435" s="3"/>
      <c r="W435" s="3"/>
    </row>
    <row r="436" spans="22:23" ht="13" x14ac:dyDescent="0.15">
      <c r="V436" s="3"/>
      <c r="W436" s="3"/>
    </row>
    <row r="437" spans="22:23" ht="13" x14ac:dyDescent="0.15">
      <c r="V437" s="3"/>
      <c r="W437" s="3"/>
    </row>
    <row r="438" spans="22:23" ht="13" x14ac:dyDescent="0.15">
      <c r="V438" s="3"/>
      <c r="W438" s="3"/>
    </row>
    <row r="439" spans="22:23" ht="13" x14ac:dyDescent="0.15">
      <c r="V439" s="3"/>
      <c r="W439" s="3"/>
    </row>
    <row r="440" spans="22:23" ht="13" x14ac:dyDescent="0.15">
      <c r="V440" s="3"/>
      <c r="W440" s="3"/>
    </row>
    <row r="441" spans="22:23" ht="13" x14ac:dyDescent="0.15">
      <c r="V441" s="3"/>
      <c r="W441" s="3"/>
    </row>
    <row r="442" spans="22:23" ht="13" x14ac:dyDescent="0.15">
      <c r="V442" s="3"/>
      <c r="W442" s="3"/>
    </row>
    <row r="443" spans="22:23" ht="13" x14ac:dyDescent="0.15">
      <c r="V443" s="3"/>
      <c r="W443" s="3"/>
    </row>
    <row r="444" spans="22:23" ht="13" x14ac:dyDescent="0.15">
      <c r="V444" s="3"/>
      <c r="W444" s="3"/>
    </row>
    <row r="445" spans="22:23" ht="13" x14ac:dyDescent="0.15">
      <c r="V445" s="3"/>
      <c r="W445" s="3"/>
    </row>
    <row r="446" spans="22:23" ht="13" x14ac:dyDescent="0.15">
      <c r="V446" s="3"/>
      <c r="W446" s="3"/>
    </row>
    <row r="447" spans="22:23" ht="13" x14ac:dyDescent="0.15">
      <c r="V447" s="3"/>
      <c r="W447" s="3"/>
    </row>
    <row r="448" spans="22:23" ht="13" x14ac:dyDescent="0.15">
      <c r="V448" s="3"/>
      <c r="W448" s="3"/>
    </row>
    <row r="449" spans="22:23" ht="13" x14ac:dyDescent="0.15">
      <c r="V449" s="3"/>
      <c r="W449" s="3"/>
    </row>
    <row r="450" spans="22:23" ht="13" x14ac:dyDescent="0.15">
      <c r="V450" s="3"/>
      <c r="W450" s="3"/>
    </row>
    <row r="451" spans="22:23" ht="13" x14ac:dyDescent="0.15">
      <c r="V451" s="3"/>
      <c r="W451" s="3"/>
    </row>
    <row r="452" spans="22:23" ht="13" x14ac:dyDescent="0.15">
      <c r="V452" s="3"/>
      <c r="W452" s="3"/>
    </row>
    <row r="453" spans="22:23" ht="13" x14ac:dyDescent="0.15">
      <c r="V453" s="3"/>
      <c r="W453" s="3"/>
    </row>
    <row r="454" spans="22:23" ht="13" x14ac:dyDescent="0.15">
      <c r="V454" s="3"/>
      <c r="W454" s="3"/>
    </row>
    <row r="455" spans="22:23" ht="13" x14ac:dyDescent="0.15">
      <c r="V455" s="3"/>
      <c r="W455" s="3"/>
    </row>
    <row r="456" spans="22:23" ht="13" x14ac:dyDescent="0.15">
      <c r="V456" s="3"/>
      <c r="W456" s="3"/>
    </row>
    <row r="457" spans="22:23" ht="13" x14ac:dyDescent="0.15">
      <c r="V457" s="3"/>
      <c r="W457" s="3"/>
    </row>
    <row r="458" spans="22:23" ht="13" x14ac:dyDescent="0.15">
      <c r="V458" s="3"/>
      <c r="W458" s="3"/>
    </row>
    <row r="459" spans="22:23" ht="13" x14ac:dyDescent="0.15">
      <c r="V459" s="3"/>
      <c r="W459" s="3"/>
    </row>
    <row r="460" spans="22:23" ht="13" x14ac:dyDescent="0.15">
      <c r="V460" s="3"/>
      <c r="W460" s="3"/>
    </row>
    <row r="461" spans="22:23" ht="13" x14ac:dyDescent="0.15">
      <c r="V461" s="3"/>
      <c r="W461" s="3"/>
    </row>
    <row r="462" spans="22:23" ht="13" x14ac:dyDescent="0.15">
      <c r="V462" s="3"/>
      <c r="W462" s="3"/>
    </row>
    <row r="463" spans="22:23" ht="13" x14ac:dyDescent="0.15">
      <c r="V463" s="3"/>
      <c r="W463" s="3"/>
    </row>
    <row r="464" spans="22:23" ht="13" x14ac:dyDescent="0.15">
      <c r="V464" s="3"/>
      <c r="W464" s="3"/>
    </row>
    <row r="465" spans="22:23" ht="13" x14ac:dyDescent="0.15">
      <c r="V465" s="3"/>
      <c r="W465" s="3"/>
    </row>
    <row r="466" spans="22:23" ht="13" x14ac:dyDescent="0.15">
      <c r="V466" s="3"/>
      <c r="W466" s="3"/>
    </row>
    <row r="467" spans="22:23" ht="13" x14ac:dyDescent="0.15">
      <c r="V467" s="3"/>
      <c r="W467" s="3"/>
    </row>
    <row r="468" spans="22:23" ht="13" x14ac:dyDescent="0.15">
      <c r="V468" s="3"/>
      <c r="W468" s="3"/>
    </row>
    <row r="469" spans="22:23" ht="13" x14ac:dyDescent="0.15">
      <c r="V469" s="3"/>
      <c r="W469" s="3"/>
    </row>
    <row r="470" spans="22:23" ht="13" x14ac:dyDescent="0.15">
      <c r="V470" s="3"/>
      <c r="W470" s="3"/>
    </row>
    <row r="471" spans="22:23" ht="13" x14ac:dyDescent="0.15">
      <c r="V471" s="3"/>
      <c r="W471" s="3"/>
    </row>
    <row r="472" spans="22:23" ht="13" x14ac:dyDescent="0.15">
      <c r="V472" s="3"/>
      <c r="W472" s="3"/>
    </row>
    <row r="473" spans="22:23" ht="13" x14ac:dyDescent="0.15">
      <c r="V473" s="3"/>
      <c r="W473" s="3"/>
    </row>
    <row r="474" spans="22:23" ht="13" x14ac:dyDescent="0.15">
      <c r="V474" s="3"/>
      <c r="W474" s="3"/>
    </row>
    <row r="475" spans="22:23" ht="13" x14ac:dyDescent="0.15">
      <c r="V475" s="3"/>
      <c r="W475" s="3"/>
    </row>
    <row r="476" spans="22:23" ht="13" x14ac:dyDescent="0.15">
      <c r="V476" s="3"/>
      <c r="W476" s="3"/>
    </row>
    <row r="477" spans="22:23" ht="13" x14ac:dyDescent="0.15">
      <c r="V477" s="3"/>
      <c r="W477" s="3"/>
    </row>
    <row r="478" spans="22:23" ht="13" x14ac:dyDescent="0.15">
      <c r="V478" s="3"/>
      <c r="W478" s="3"/>
    </row>
    <row r="479" spans="22:23" ht="13" x14ac:dyDescent="0.15">
      <c r="V479" s="3"/>
      <c r="W479" s="3"/>
    </row>
    <row r="480" spans="22:23" ht="13" x14ac:dyDescent="0.15">
      <c r="V480" s="3"/>
      <c r="W480" s="3"/>
    </row>
    <row r="481" spans="22:23" ht="13" x14ac:dyDescent="0.15">
      <c r="V481" s="3"/>
      <c r="W481" s="3"/>
    </row>
    <row r="482" spans="22:23" ht="13" x14ac:dyDescent="0.15">
      <c r="V482" s="3"/>
      <c r="W482" s="3"/>
    </row>
    <row r="483" spans="22:23" ht="13" x14ac:dyDescent="0.15">
      <c r="V483" s="3"/>
      <c r="W483" s="3"/>
    </row>
    <row r="484" spans="22:23" ht="13" x14ac:dyDescent="0.15">
      <c r="V484" s="3"/>
      <c r="W484" s="3"/>
    </row>
    <row r="485" spans="22:23" ht="13" x14ac:dyDescent="0.15">
      <c r="V485" s="3"/>
      <c r="W485" s="3"/>
    </row>
    <row r="486" spans="22:23" ht="13" x14ac:dyDescent="0.15">
      <c r="V486" s="3"/>
      <c r="W486" s="3"/>
    </row>
    <row r="487" spans="22:23" ht="13" x14ac:dyDescent="0.15">
      <c r="V487" s="3"/>
      <c r="W487" s="3"/>
    </row>
    <row r="488" spans="22:23" ht="13" x14ac:dyDescent="0.15">
      <c r="V488" s="3"/>
      <c r="W488" s="3"/>
    </row>
    <row r="489" spans="22:23" ht="13" x14ac:dyDescent="0.15">
      <c r="V489" s="3"/>
      <c r="W489" s="3"/>
    </row>
    <row r="490" spans="22:23" ht="13" x14ac:dyDescent="0.15">
      <c r="V490" s="3"/>
      <c r="W490" s="3"/>
    </row>
    <row r="491" spans="22:23" ht="13" x14ac:dyDescent="0.15">
      <c r="V491" s="3"/>
      <c r="W491" s="3"/>
    </row>
    <row r="492" spans="22:23" ht="13" x14ac:dyDescent="0.15">
      <c r="V492" s="3"/>
      <c r="W492" s="3"/>
    </row>
    <row r="493" spans="22:23" ht="13" x14ac:dyDescent="0.15">
      <c r="V493" s="3"/>
      <c r="W493" s="3"/>
    </row>
    <row r="494" spans="22:23" ht="13" x14ac:dyDescent="0.15">
      <c r="V494" s="3"/>
      <c r="W494" s="3"/>
    </row>
    <row r="495" spans="22:23" ht="13" x14ac:dyDescent="0.15">
      <c r="V495" s="3"/>
      <c r="W495" s="3"/>
    </row>
    <row r="496" spans="22:23" ht="13" x14ac:dyDescent="0.15">
      <c r="V496" s="3"/>
      <c r="W496" s="3"/>
    </row>
    <row r="497" spans="22:23" ht="13" x14ac:dyDescent="0.15">
      <c r="V497" s="3"/>
      <c r="W497" s="3"/>
    </row>
    <row r="498" spans="22:23" ht="13" x14ac:dyDescent="0.15">
      <c r="V498" s="3"/>
      <c r="W498" s="3"/>
    </row>
    <row r="499" spans="22:23" ht="13" x14ac:dyDescent="0.15">
      <c r="V499" s="3"/>
      <c r="W499" s="3"/>
    </row>
    <row r="500" spans="22:23" ht="13" x14ac:dyDescent="0.15">
      <c r="V500" s="3"/>
      <c r="W500" s="3"/>
    </row>
    <row r="501" spans="22:23" ht="13" x14ac:dyDescent="0.15">
      <c r="V501" s="3"/>
      <c r="W501" s="3"/>
    </row>
    <row r="502" spans="22:23" ht="13" x14ac:dyDescent="0.15">
      <c r="V502" s="3"/>
      <c r="W502" s="3"/>
    </row>
    <row r="503" spans="22:23" ht="13" x14ac:dyDescent="0.15">
      <c r="V503" s="3"/>
      <c r="W503" s="3"/>
    </row>
    <row r="504" spans="22:23" ht="13" x14ac:dyDescent="0.15">
      <c r="V504" s="3"/>
      <c r="W504" s="3"/>
    </row>
    <row r="505" spans="22:23" ht="13" x14ac:dyDescent="0.15">
      <c r="V505" s="3"/>
      <c r="W505" s="3"/>
    </row>
    <row r="506" spans="22:23" ht="13" x14ac:dyDescent="0.15">
      <c r="V506" s="3"/>
      <c r="W506" s="3"/>
    </row>
    <row r="507" spans="22:23" ht="13" x14ac:dyDescent="0.15">
      <c r="V507" s="3"/>
      <c r="W507" s="3"/>
    </row>
    <row r="508" spans="22:23" ht="13" x14ac:dyDescent="0.15">
      <c r="V508" s="3"/>
      <c r="W508" s="3"/>
    </row>
    <row r="509" spans="22:23" ht="13" x14ac:dyDescent="0.15">
      <c r="V509" s="3"/>
      <c r="W509" s="3"/>
    </row>
    <row r="510" spans="22:23" ht="13" x14ac:dyDescent="0.15">
      <c r="V510" s="3"/>
      <c r="W510" s="3"/>
    </row>
    <row r="511" spans="22:23" ht="13" x14ac:dyDescent="0.15">
      <c r="V511" s="3"/>
      <c r="W511" s="3"/>
    </row>
    <row r="512" spans="22:23" ht="13" x14ac:dyDescent="0.15">
      <c r="V512" s="3"/>
      <c r="W512" s="3"/>
    </row>
    <row r="513" spans="22:23" ht="13" x14ac:dyDescent="0.15">
      <c r="V513" s="3"/>
      <c r="W513" s="3"/>
    </row>
    <row r="514" spans="22:23" ht="13" x14ac:dyDescent="0.15">
      <c r="V514" s="3"/>
      <c r="W514" s="3"/>
    </row>
    <row r="515" spans="22:23" ht="13" x14ac:dyDescent="0.15">
      <c r="V515" s="3"/>
      <c r="W515" s="3"/>
    </row>
    <row r="516" spans="22:23" ht="13" x14ac:dyDescent="0.15">
      <c r="V516" s="3"/>
      <c r="W516" s="3"/>
    </row>
    <row r="517" spans="22:23" ht="13" x14ac:dyDescent="0.15">
      <c r="V517" s="3"/>
      <c r="W517" s="3"/>
    </row>
    <row r="518" spans="22:23" ht="13" x14ac:dyDescent="0.15">
      <c r="V518" s="3"/>
      <c r="W518" s="3"/>
    </row>
    <row r="519" spans="22:23" ht="13" x14ac:dyDescent="0.15">
      <c r="V519" s="3"/>
      <c r="W519" s="3"/>
    </row>
    <row r="520" spans="22:23" ht="13" x14ac:dyDescent="0.15">
      <c r="V520" s="3"/>
      <c r="W520" s="3"/>
    </row>
    <row r="521" spans="22:23" ht="13" x14ac:dyDescent="0.15">
      <c r="V521" s="3"/>
      <c r="W521" s="3"/>
    </row>
    <row r="522" spans="22:23" ht="13" x14ac:dyDescent="0.15">
      <c r="V522" s="3"/>
      <c r="W522" s="3"/>
    </row>
    <row r="523" spans="22:23" ht="13" x14ac:dyDescent="0.15">
      <c r="V523" s="3"/>
      <c r="W523" s="3"/>
    </row>
    <row r="524" spans="22:23" ht="13" x14ac:dyDescent="0.15">
      <c r="V524" s="3"/>
      <c r="W524" s="3"/>
    </row>
    <row r="525" spans="22:23" ht="13" x14ac:dyDescent="0.15">
      <c r="V525" s="3"/>
      <c r="W525" s="3"/>
    </row>
    <row r="526" spans="22:23" ht="13" x14ac:dyDescent="0.15">
      <c r="V526" s="3"/>
      <c r="W526" s="3"/>
    </row>
    <row r="527" spans="22:23" ht="13" x14ac:dyDescent="0.15">
      <c r="V527" s="3"/>
      <c r="W527" s="3"/>
    </row>
    <row r="528" spans="22:23" ht="13" x14ac:dyDescent="0.15">
      <c r="V528" s="3"/>
      <c r="W528" s="3"/>
    </row>
    <row r="529" spans="22:23" ht="13" x14ac:dyDescent="0.15">
      <c r="V529" s="3"/>
      <c r="W529" s="3"/>
    </row>
    <row r="530" spans="22:23" ht="13" x14ac:dyDescent="0.15">
      <c r="V530" s="3"/>
      <c r="W530" s="3"/>
    </row>
    <row r="531" spans="22:23" ht="13" x14ac:dyDescent="0.15">
      <c r="V531" s="3"/>
      <c r="W531" s="3"/>
    </row>
    <row r="532" spans="22:23" ht="13" x14ac:dyDescent="0.15">
      <c r="V532" s="3"/>
      <c r="W532" s="3"/>
    </row>
    <row r="533" spans="22:23" ht="13" x14ac:dyDescent="0.15">
      <c r="V533" s="3"/>
      <c r="W533" s="3"/>
    </row>
    <row r="534" spans="22:23" ht="13" x14ac:dyDescent="0.15">
      <c r="V534" s="3"/>
      <c r="W534" s="3"/>
    </row>
    <row r="535" spans="22:23" ht="13" x14ac:dyDescent="0.15">
      <c r="V535" s="3"/>
      <c r="W535" s="3"/>
    </row>
    <row r="536" spans="22:23" ht="13" x14ac:dyDescent="0.15">
      <c r="V536" s="3"/>
      <c r="W536" s="3"/>
    </row>
    <row r="537" spans="22:23" ht="13" x14ac:dyDescent="0.15">
      <c r="V537" s="3"/>
      <c r="W537" s="3"/>
    </row>
    <row r="538" spans="22:23" ht="13" x14ac:dyDescent="0.15">
      <c r="V538" s="3"/>
      <c r="W538" s="3"/>
    </row>
    <row r="539" spans="22:23" ht="13" x14ac:dyDescent="0.15">
      <c r="V539" s="3"/>
      <c r="W539" s="3"/>
    </row>
    <row r="540" spans="22:23" ht="13" x14ac:dyDescent="0.15">
      <c r="V540" s="3"/>
      <c r="W540" s="3"/>
    </row>
    <row r="541" spans="22:23" ht="13" x14ac:dyDescent="0.15">
      <c r="V541" s="3"/>
      <c r="W541" s="3"/>
    </row>
    <row r="542" spans="22:23" ht="13" x14ac:dyDescent="0.15">
      <c r="V542" s="3"/>
      <c r="W542" s="3"/>
    </row>
    <row r="543" spans="22:23" ht="13" x14ac:dyDescent="0.15">
      <c r="V543" s="3"/>
      <c r="W543" s="3"/>
    </row>
    <row r="544" spans="22:23" ht="13" x14ac:dyDescent="0.15">
      <c r="V544" s="3"/>
      <c r="W544" s="3"/>
    </row>
    <row r="545" spans="22:23" ht="13" x14ac:dyDescent="0.15">
      <c r="V545" s="3"/>
      <c r="W545" s="3"/>
    </row>
    <row r="546" spans="22:23" ht="13" x14ac:dyDescent="0.15">
      <c r="V546" s="3"/>
      <c r="W546" s="3"/>
    </row>
    <row r="547" spans="22:23" ht="13" x14ac:dyDescent="0.15">
      <c r="V547" s="3"/>
      <c r="W547" s="3"/>
    </row>
    <row r="548" spans="22:23" ht="13" x14ac:dyDescent="0.15">
      <c r="V548" s="3"/>
      <c r="W548" s="3"/>
    </row>
    <row r="549" spans="22:23" ht="13" x14ac:dyDescent="0.15">
      <c r="V549" s="3"/>
      <c r="W549" s="3"/>
    </row>
    <row r="550" spans="22:23" ht="13" x14ac:dyDescent="0.15">
      <c r="V550" s="3"/>
      <c r="W550" s="3"/>
    </row>
    <row r="551" spans="22:23" ht="13" x14ac:dyDescent="0.15">
      <c r="V551" s="3"/>
      <c r="W551" s="3"/>
    </row>
    <row r="552" spans="22:23" ht="13" x14ac:dyDescent="0.15">
      <c r="V552" s="3"/>
      <c r="W552" s="3"/>
    </row>
    <row r="553" spans="22:23" ht="13" x14ac:dyDescent="0.15">
      <c r="V553" s="3"/>
      <c r="W553" s="3"/>
    </row>
    <row r="554" spans="22:23" ht="13" x14ac:dyDescent="0.15">
      <c r="V554" s="3"/>
      <c r="W554" s="3"/>
    </row>
    <row r="555" spans="22:23" ht="13" x14ac:dyDescent="0.15">
      <c r="V555" s="3"/>
      <c r="W555" s="3"/>
    </row>
    <row r="556" spans="22:23" ht="13" x14ac:dyDescent="0.15">
      <c r="V556" s="3"/>
      <c r="W556" s="3"/>
    </row>
    <row r="557" spans="22:23" ht="13" x14ac:dyDescent="0.15">
      <c r="V557" s="3"/>
      <c r="W557" s="3"/>
    </row>
    <row r="558" spans="22:23" ht="13" x14ac:dyDescent="0.15">
      <c r="V558" s="3"/>
      <c r="W558" s="3"/>
    </row>
    <row r="559" spans="22:23" ht="13" x14ac:dyDescent="0.15">
      <c r="V559" s="3"/>
      <c r="W559" s="3"/>
    </row>
    <row r="560" spans="22:23" ht="13" x14ac:dyDescent="0.15">
      <c r="V560" s="3"/>
      <c r="W560" s="3"/>
    </row>
    <row r="561" spans="22:23" ht="13" x14ac:dyDescent="0.15">
      <c r="V561" s="3"/>
      <c r="W561" s="3"/>
    </row>
    <row r="562" spans="22:23" ht="13" x14ac:dyDescent="0.15">
      <c r="V562" s="3"/>
      <c r="W562" s="3"/>
    </row>
    <row r="563" spans="22:23" ht="13" x14ac:dyDescent="0.15">
      <c r="V563" s="3"/>
      <c r="W563" s="3"/>
    </row>
    <row r="564" spans="22:23" ht="13" x14ac:dyDescent="0.15">
      <c r="V564" s="3"/>
      <c r="W564" s="3"/>
    </row>
    <row r="565" spans="22:23" ht="13" x14ac:dyDescent="0.15">
      <c r="V565" s="3"/>
      <c r="W565" s="3"/>
    </row>
    <row r="566" spans="22:23" ht="13" x14ac:dyDescent="0.15">
      <c r="V566" s="3"/>
      <c r="W566" s="3"/>
    </row>
    <row r="567" spans="22:23" ht="13" x14ac:dyDescent="0.15">
      <c r="V567" s="3"/>
      <c r="W567" s="3"/>
    </row>
    <row r="568" spans="22:23" ht="13" x14ac:dyDescent="0.15">
      <c r="V568" s="3"/>
      <c r="W568" s="3"/>
    </row>
    <row r="569" spans="22:23" ht="13" x14ac:dyDescent="0.15">
      <c r="V569" s="3"/>
      <c r="W569" s="3"/>
    </row>
    <row r="570" spans="22:23" ht="13" x14ac:dyDescent="0.15">
      <c r="V570" s="3"/>
      <c r="W570" s="3"/>
    </row>
    <row r="571" spans="22:23" ht="13" x14ac:dyDescent="0.15">
      <c r="V571" s="3"/>
      <c r="W571" s="3"/>
    </row>
    <row r="572" spans="22:23" ht="13" x14ac:dyDescent="0.15">
      <c r="V572" s="3"/>
      <c r="W572" s="3"/>
    </row>
    <row r="573" spans="22:23" ht="13" x14ac:dyDescent="0.15">
      <c r="V573" s="3"/>
      <c r="W573" s="3"/>
    </row>
    <row r="574" spans="22:23" ht="13" x14ac:dyDescent="0.15">
      <c r="V574" s="3"/>
      <c r="W574" s="3"/>
    </row>
    <row r="575" spans="22:23" ht="13" x14ac:dyDescent="0.15">
      <c r="V575" s="3"/>
      <c r="W575" s="3"/>
    </row>
    <row r="576" spans="22:23" ht="13" x14ac:dyDescent="0.15">
      <c r="V576" s="3"/>
      <c r="W576" s="3"/>
    </row>
    <row r="577" spans="22:23" ht="13" x14ac:dyDescent="0.15">
      <c r="V577" s="3"/>
      <c r="W577" s="3"/>
    </row>
    <row r="578" spans="22:23" ht="13" x14ac:dyDescent="0.15">
      <c r="V578" s="3"/>
      <c r="W578" s="3"/>
    </row>
    <row r="579" spans="22:23" ht="13" x14ac:dyDescent="0.15">
      <c r="V579" s="3"/>
      <c r="W579" s="3"/>
    </row>
    <row r="580" spans="22:23" ht="13" x14ac:dyDescent="0.15">
      <c r="V580" s="3"/>
      <c r="W580" s="3"/>
    </row>
    <row r="581" spans="22:23" ht="13" x14ac:dyDescent="0.15">
      <c r="V581" s="3"/>
      <c r="W581" s="3"/>
    </row>
    <row r="582" spans="22:23" ht="13" x14ac:dyDescent="0.15">
      <c r="V582" s="3"/>
      <c r="W582" s="3"/>
    </row>
    <row r="583" spans="22:23" ht="13" x14ac:dyDescent="0.15">
      <c r="V583" s="3"/>
      <c r="W583" s="3"/>
    </row>
    <row r="584" spans="22:23" ht="13" x14ac:dyDescent="0.15">
      <c r="V584" s="3"/>
      <c r="W584" s="3"/>
    </row>
    <row r="585" spans="22:23" ht="13" x14ac:dyDescent="0.15">
      <c r="V585" s="3"/>
      <c r="W585" s="3"/>
    </row>
    <row r="586" spans="22:23" ht="13" x14ac:dyDescent="0.15">
      <c r="V586" s="3"/>
      <c r="W586" s="3"/>
    </row>
    <row r="587" spans="22:23" ht="13" x14ac:dyDescent="0.15">
      <c r="V587" s="3"/>
      <c r="W587" s="3"/>
    </row>
    <row r="588" spans="22:23" ht="13" x14ac:dyDescent="0.15">
      <c r="V588" s="3"/>
      <c r="W588" s="3"/>
    </row>
    <row r="589" spans="22:23" ht="13" x14ac:dyDescent="0.15">
      <c r="V589" s="3"/>
      <c r="W589" s="3"/>
    </row>
    <row r="590" spans="22:23" ht="13" x14ac:dyDescent="0.15">
      <c r="V590" s="3"/>
      <c r="W590" s="3"/>
    </row>
    <row r="591" spans="22:23" ht="13" x14ac:dyDescent="0.15">
      <c r="V591" s="3"/>
      <c r="W591" s="3"/>
    </row>
    <row r="592" spans="22:23" ht="13" x14ac:dyDescent="0.15">
      <c r="V592" s="3"/>
      <c r="W592" s="3"/>
    </row>
    <row r="593" spans="22:23" ht="13" x14ac:dyDescent="0.15">
      <c r="V593" s="3"/>
      <c r="W593" s="3"/>
    </row>
    <row r="594" spans="22:23" ht="13" x14ac:dyDescent="0.15">
      <c r="V594" s="3"/>
      <c r="W594" s="3"/>
    </row>
    <row r="595" spans="22:23" ht="13" x14ac:dyDescent="0.15">
      <c r="V595" s="3"/>
      <c r="W595" s="3"/>
    </row>
    <row r="596" spans="22:23" ht="13" x14ac:dyDescent="0.15">
      <c r="V596" s="3"/>
      <c r="W596" s="3"/>
    </row>
    <row r="597" spans="22:23" ht="13" x14ac:dyDescent="0.15">
      <c r="V597" s="3"/>
      <c r="W597" s="3"/>
    </row>
    <row r="598" spans="22:23" ht="13" x14ac:dyDescent="0.15">
      <c r="V598" s="3"/>
      <c r="W598" s="3"/>
    </row>
    <row r="599" spans="22:23" ht="13" x14ac:dyDescent="0.15">
      <c r="V599" s="3"/>
      <c r="W599" s="3"/>
    </row>
    <row r="600" spans="22:23" ht="13" x14ac:dyDescent="0.15">
      <c r="V600" s="3"/>
      <c r="W600" s="3"/>
    </row>
    <row r="601" spans="22:23" ht="13" x14ac:dyDescent="0.15">
      <c r="V601" s="3"/>
      <c r="W601" s="3"/>
    </row>
    <row r="602" spans="22:23" ht="13" x14ac:dyDescent="0.15">
      <c r="V602" s="3"/>
      <c r="W602" s="3"/>
    </row>
    <row r="603" spans="22:23" ht="13" x14ac:dyDescent="0.15">
      <c r="V603" s="3"/>
      <c r="W603" s="3"/>
    </row>
    <row r="604" spans="22:23" ht="13" x14ac:dyDescent="0.15">
      <c r="V604" s="3"/>
      <c r="W604" s="3"/>
    </row>
    <row r="605" spans="22:23" ht="13" x14ac:dyDescent="0.15">
      <c r="V605" s="3"/>
      <c r="W605" s="3"/>
    </row>
    <row r="606" spans="22:23" ht="13" x14ac:dyDescent="0.15">
      <c r="V606" s="3"/>
      <c r="W606" s="3"/>
    </row>
    <row r="607" spans="22:23" ht="13" x14ac:dyDescent="0.15">
      <c r="V607" s="3"/>
      <c r="W607" s="3"/>
    </row>
    <row r="608" spans="22:23" ht="13" x14ac:dyDescent="0.15">
      <c r="V608" s="3"/>
      <c r="W608" s="3"/>
    </row>
    <row r="609" spans="22:23" ht="13" x14ac:dyDescent="0.15">
      <c r="V609" s="3"/>
      <c r="W609" s="3"/>
    </row>
    <row r="610" spans="22:23" ht="13" x14ac:dyDescent="0.15">
      <c r="V610" s="3"/>
      <c r="W610" s="3"/>
    </row>
    <row r="611" spans="22:23" ht="13" x14ac:dyDescent="0.15">
      <c r="V611" s="3"/>
      <c r="W611" s="3"/>
    </row>
    <row r="612" spans="22:23" ht="13" x14ac:dyDescent="0.15">
      <c r="V612" s="3"/>
      <c r="W612" s="3"/>
    </row>
    <row r="613" spans="22:23" ht="13" x14ac:dyDescent="0.15">
      <c r="V613" s="3"/>
      <c r="W613" s="3"/>
    </row>
    <row r="614" spans="22:23" ht="13" x14ac:dyDescent="0.15">
      <c r="V614" s="3"/>
      <c r="W614" s="3"/>
    </row>
    <row r="615" spans="22:23" ht="13" x14ac:dyDescent="0.15">
      <c r="V615" s="3"/>
      <c r="W615" s="3"/>
    </row>
    <row r="616" spans="22:23" ht="13" x14ac:dyDescent="0.15">
      <c r="V616" s="3"/>
      <c r="W616" s="3"/>
    </row>
    <row r="617" spans="22:23" ht="13" x14ac:dyDescent="0.15">
      <c r="V617" s="3"/>
      <c r="W617" s="3"/>
    </row>
    <row r="618" spans="22:23" ht="13" x14ac:dyDescent="0.15">
      <c r="V618" s="3"/>
      <c r="W618" s="3"/>
    </row>
    <row r="619" spans="22:23" ht="13" x14ac:dyDescent="0.15">
      <c r="V619" s="3"/>
      <c r="W619" s="3"/>
    </row>
    <row r="620" spans="22:23" ht="13" x14ac:dyDescent="0.15">
      <c r="V620" s="3"/>
      <c r="W620" s="3"/>
    </row>
    <row r="621" spans="22:23" ht="13" x14ac:dyDescent="0.15">
      <c r="V621" s="3"/>
      <c r="W621" s="3"/>
    </row>
    <row r="622" spans="22:23" ht="13" x14ac:dyDescent="0.15">
      <c r="V622" s="3"/>
      <c r="W622" s="3"/>
    </row>
    <row r="623" spans="22:23" ht="13" x14ac:dyDescent="0.15">
      <c r="V623" s="3"/>
      <c r="W623" s="3"/>
    </row>
    <row r="624" spans="22:23" ht="13" x14ac:dyDescent="0.15">
      <c r="V624" s="3"/>
      <c r="W624" s="3"/>
    </row>
    <row r="625" spans="22:23" ht="13" x14ac:dyDescent="0.15">
      <c r="V625" s="3"/>
      <c r="W625" s="3"/>
    </row>
    <row r="626" spans="22:23" ht="13" x14ac:dyDescent="0.15">
      <c r="V626" s="3"/>
      <c r="W626" s="3"/>
    </row>
    <row r="627" spans="22:23" ht="13" x14ac:dyDescent="0.15">
      <c r="V627" s="3"/>
      <c r="W627" s="3"/>
    </row>
    <row r="628" spans="22:23" ht="13" x14ac:dyDescent="0.15">
      <c r="V628" s="3"/>
      <c r="W628" s="3"/>
    </row>
    <row r="629" spans="22:23" ht="13" x14ac:dyDescent="0.15">
      <c r="V629" s="3"/>
      <c r="W629" s="3"/>
    </row>
    <row r="630" spans="22:23" ht="13" x14ac:dyDescent="0.15">
      <c r="V630" s="3"/>
      <c r="W630" s="3"/>
    </row>
    <row r="631" spans="22:23" ht="13" x14ac:dyDescent="0.15">
      <c r="V631" s="3"/>
      <c r="W631" s="3"/>
    </row>
    <row r="632" spans="22:23" ht="13" x14ac:dyDescent="0.15">
      <c r="V632" s="3"/>
      <c r="W632" s="3"/>
    </row>
    <row r="633" spans="22:23" ht="13" x14ac:dyDescent="0.15">
      <c r="V633" s="3"/>
      <c r="W633" s="3"/>
    </row>
    <row r="634" spans="22:23" ht="13" x14ac:dyDescent="0.15">
      <c r="V634" s="3"/>
      <c r="W634" s="3"/>
    </row>
    <row r="635" spans="22:23" ht="13" x14ac:dyDescent="0.15">
      <c r="V635" s="3"/>
      <c r="W635" s="3"/>
    </row>
    <row r="636" spans="22:23" ht="13" x14ac:dyDescent="0.15">
      <c r="V636" s="3"/>
      <c r="W636" s="3"/>
    </row>
    <row r="637" spans="22:23" ht="13" x14ac:dyDescent="0.15">
      <c r="V637" s="3"/>
      <c r="W637" s="3"/>
    </row>
    <row r="638" spans="22:23" ht="13" x14ac:dyDescent="0.15">
      <c r="V638" s="3"/>
      <c r="W638" s="3"/>
    </row>
    <row r="639" spans="22:23" ht="13" x14ac:dyDescent="0.15">
      <c r="V639" s="3"/>
      <c r="W639" s="3"/>
    </row>
    <row r="640" spans="22:23" ht="13" x14ac:dyDescent="0.15">
      <c r="V640" s="3"/>
      <c r="W640" s="3"/>
    </row>
    <row r="641" spans="22:23" ht="13" x14ac:dyDescent="0.15">
      <c r="V641" s="3"/>
      <c r="W641" s="3"/>
    </row>
    <row r="642" spans="22:23" ht="13" x14ac:dyDescent="0.15">
      <c r="V642" s="3"/>
      <c r="W642" s="3"/>
    </row>
    <row r="643" spans="22:23" ht="13" x14ac:dyDescent="0.15">
      <c r="V643" s="3"/>
      <c r="W643" s="3"/>
    </row>
    <row r="644" spans="22:23" ht="13" x14ac:dyDescent="0.15">
      <c r="V644" s="3"/>
      <c r="W644" s="3"/>
    </row>
    <row r="645" spans="22:23" ht="13" x14ac:dyDescent="0.15">
      <c r="V645" s="3"/>
      <c r="W645" s="3"/>
    </row>
    <row r="646" spans="22:23" ht="13" x14ac:dyDescent="0.15">
      <c r="V646" s="3"/>
      <c r="W646" s="3"/>
    </row>
    <row r="647" spans="22:23" ht="13" x14ac:dyDescent="0.15">
      <c r="V647" s="3"/>
      <c r="W647" s="3"/>
    </row>
    <row r="648" spans="22:23" ht="13" x14ac:dyDescent="0.15">
      <c r="V648" s="3"/>
      <c r="W648" s="3"/>
    </row>
    <row r="649" spans="22:23" ht="13" x14ac:dyDescent="0.15">
      <c r="V649" s="3"/>
      <c r="W649" s="3"/>
    </row>
    <row r="650" spans="22:23" ht="13" x14ac:dyDescent="0.15">
      <c r="V650" s="3"/>
      <c r="W650" s="3"/>
    </row>
    <row r="651" spans="22:23" ht="13" x14ac:dyDescent="0.15">
      <c r="V651" s="3"/>
      <c r="W651" s="3"/>
    </row>
    <row r="652" spans="22:23" ht="13" x14ac:dyDescent="0.15">
      <c r="V652" s="3"/>
      <c r="W652" s="3"/>
    </row>
    <row r="653" spans="22:23" ht="13" x14ac:dyDescent="0.15">
      <c r="V653" s="3"/>
      <c r="W653" s="3"/>
    </row>
    <row r="654" spans="22:23" ht="13" x14ac:dyDescent="0.15">
      <c r="V654" s="3"/>
      <c r="W654" s="3"/>
    </row>
    <row r="655" spans="22:23" ht="13" x14ac:dyDescent="0.15">
      <c r="V655" s="3"/>
      <c r="W655" s="3"/>
    </row>
    <row r="656" spans="22:23" ht="13" x14ac:dyDescent="0.15">
      <c r="V656" s="3"/>
      <c r="W656" s="3"/>
    </row>
    <row r="657" spans="22:23" ht="13" x14ac:dyDescent="0.15">
      <c r="V657" s="3"/>
      <c r="W657" s="3"/>
    </row>
    <row r="658" spans="22:23" ht="13" x14ac:dyDescent="0.15">
      <c r="V658" s="3"/>
      <c r="W658" s="3"/>
    </row>
    <row r="659" spans="22:23" ht="13" x14ac:dyDescent="0.15">
      <c r="V659" s="3"/>
      <c r="W659" s="3"/>
    </row>
    <row r="660" spans="22:23" ht="13" x14ac:dyDescent="0.15">
      <c r="V660" s="3"/>
      <c r="W660" s="3"/>
    </row>
    <row r="661" spans="22:23" ht="13" x14ac:dyDescent="0.15">
      <c r="V661" s="3"/>
      <c r="W661" s="3"/>
    </row>
    <row r="662" spans="22:23" ht="13" x14ac:dyDescent="0.15">
      <c r="V662" s="3"/>
      <c r="W662" s="3"/>
    </row>
    <row r="663" spans="22:23" ht="13" x14ac:dyDescent="0.15">
      <c r="V663" s="3"/>
      <c r="W663" s="3"/>
    </row>
    <row r="664" spans="22:23" ht="13" x14ac:dyDescent="0.15">
      <c r="V664" s="3"/>
      <c r="W664" s="3"/>
    </row>
    <row r="665" spans="22:23" ht="13" x14ac:dyDescent="0.15">
      <c r="V665" s="3"/>
      <c r="W665" s="3"/>
    </row>
    <row r="666" spans="22:23" ht="13" x14ac:dyDescent="0.15">
      <c r="V666" s="3"/>
      <c r="W666" s="3"/>
    </row>
    <row r="667" spans="22:23" ht="13" x14ac:dyDescent="0.15">
      <c r="V667" s="3"/>
      <c r="W667" s="3"/>
    </row>
    <row r="668" spans="22:23" ht="13" x14ac:dyDescent="0.15">
      <c r="V668" s="3"/>
      <c r="W668" s="3"/>
    </row>
    <row r="669" spans="22:23" ht="13" x14ac:dyDescent="0.15">
      <c r="V669" s="3"/>
      <c r="W669" s="3"/>
    </row>
    <row r="670" spans="22:23" ht="13" x14ac:dyDescent="0.15">
      <c r="V670" s="3"/>
      <c r="W670" s="3"/>
    </row>
    <row r="671" spans="22:23" ht="13" x14ac:dyDescent="0.15">
      <c r="V671" s="3"/>
      <c r="W671" s="3"/>
    </row>
    <row r="672" spans="22:23" ht="13" x14ac:dyDescent="0.15">
      <c r="V672" s="3"/>
      <c r="W672" s="3"/>
    </row>
    <row r="673" spans="22:23" ht="13" x14ac:dyDescent="0.15">
      <c r="V673" s="3"/>
      <c r="W673" s="3"/>
    </row>
    <row r="674" spans="22:23" ht="13" x14ac:dyDescent="0.15">
      <c r="V674" s="3"/>
      <c r="W674" s="3"/>
    </row>
    <row r="675" spans="22:23" ht="13" x14ac:dyDescent="0.15">
      <c r="V675" s="3"/>
      <c r="W675" s="3"/>
    </row>
    <row r="676" spans="22:23" ht="13" x14ac:dyDescent="0.15">
      <c r="V676" s="3"/>
      <c r="W676" s="3"/>
    </row>
    <row r="677" spans="22:23" ht="13" x14ac:dyDescent="0.15">
      <c r="V677" s="3"/>
      <c r="W677" s="3"/>
    </row>
    <row r="678" spans="22:23" ht="13" x14ac:dyDescent="0.15">
      <c r="V678" s="3"/>
      <c r="W678" s="3"/>
    </row>
    <row r="679" spans="22:23" ht="13" x14ac:dyDescent="0.15">
      <c r="V679" s="3"/>
      <c r="W679" s="3"/>
    </row>
    <row r="680" spans="22:23" ht="13" x14ac:dyDescent="0.15">
      <c r="V680" s="3"/>
      <c r="W680" s="3"/>
    </row>
    <row r="681" spans="22:23" ht="13" x14ac:dyDescent="0.15">
      <c r="V681" s="3"/>
      <c r="W681" s="3"/>
    </row>
    <row r="682" spans="22:23" ht="13" x14ac:dyDescent="0.15">
      <c r="V682" s="3"/>
      <c r="W682" s="3"/>
    </row>
    <row r="683" spans="22:23" ht="13" x14ac:dyDescent="0.15">
      <c r="V683" s="3"/>
      <c r="W683" s="3"/>
    </row>
    <row r="684" spans="22:23" ht="13" x14ac:dyDescent="0.15">
      <c r="V684" s="3"/>
      <c r="W684" s="3"/>
    </row>
    <row r="685" spans="22:23" ht="13" x14ac:dyDescent="0.15">
      <c r="V685" s="3"/>
      <c r="W685" s="3"/>
    </row>
    <row r="686" spans="22:23" ht="13" x14ac:dyDescent="0.15">
      <c r="V686" s="3"/>
      <c r="W686" s="3"/>
    </row>
    <row r="687" spans="22:23" ht="13" x14ac:dyDescent="0.15">
      <c r="V687" s="3"/>
      <c r="W687" s="3"/>
    </row>
    <row r="688" spans="22:23" ht="13" x14ac:dyDescent="0.15">
      <c r="V688" s="3"/>
      <c r="W688" s="3"/>
    </row>
    <row r="689" spans="22:23" ht="13" x14ac:dyDescent="0.15">
      <c r="V689" s="3"/>
      <c r="W689" s="3"/>
    </row>
    <row r="690" spans="22:23" ht="13" x14ac:dyDescent="0.15">
      <c r="V690" s="3"/>
      <c r="W690" s="3"/>
    </row>
    <row r="691" spans="22:23" ht="13" x14ac:dyDescent="0.15">
      <c r="V691" s="3"/>
      <c r="W691" s="3"/>
    </row>
    <row r="692" spans="22:23" ht="13" x14ac:dyDescent="0.15">
      <c r="V692" s="3"/>
      <c r="W692" s="3"/>
    </row>
    <row r="693" spans="22:23" ht="13" x14ac:dyDescent="0.15">
      <c r="V693" s="3"/>
      <c r="W693" s="3"/>
    </row>
    <row r="694" spans="22:23" ht="13" x14ac:dyDescent="0.15">
      <c r="V694" s="3"/>
      <c r="W694" s="3"/>
    </row>
    <row r="695" spans="22:23" ht="13" x14ac:dyDescent="0.15">
      <c r="V695" s="3"/>
      <c r="W695" s="3"/>
    </row>
    <row r="696" spans="22:23" ht="13" x14ac:dyDescent="0.15">
      <c r="V696" s="3"/>
      <c r="W696" s="3"/>
    </row>
    <row r="697" spans="22:23" ht="13" x14ac:dyDescent="0.15">
      <c r="V697" s="3"/>
      <c r="W697" s="3"/>
    </row>
    <row r="698" spans="22:23" ht="13" x14ac:dyDescent="0.15">
      <c r="V698" s="3"/>
      <c r="W698" s="3"/>
    </row>
    <row r="699" spans="22:23" ht="13" x14ac:dyDescent="0.15">
      <c r="V699" s="3"/>
      <c r="W699" s="3"/>
    </row>
    <row r="700" spans="22:23" ht="13" x14ac:dyDescent="0.15">
      <c r="V700" s="3"/>
      <c r="W700" s="3"/>
    </row>
    <row r="701" spans="22:23" ht="13" x14ac:dyDescent="0.15">
      <c r="V701" s="3"/>
      <c r="W701" s="3"/>
    </row>
    <row r="702" spans="22:23" ht="13" x14ac:dyDescent="0.15">
      <c r="V702" s="3"/>
      <c r="W702" s="3"/>
    </row>
    <row r="703" spans="22:23" ht="13" x14ac:dyDescent="0.15">
      <c r="V703" s="3"/>
      <c r="W703" s="3"/>
    </row>
    <row r="704" spans="22:23" ht="13" x14ac:dyDescent="0.15">
      <c r="V704" s="3"/>
      <c r="W704" s="3"/>
    </row>
    <row r="705" spans="22:23" ht="13" x14ac:dyDescent="0.15">
      <c r="V705" s="3"/>
      <c r="W705" s="3"/>
    </row>
    <row r="706" spans="22:23" ht="13" x14ac:dyDescent="0.15">
      <c r="V706" s="3"/>
      <c r="W706" s="3"/>
    </row>
    <row r="707" spans="22:23" ht="13" x14ac:dyDescent="0.15">
      <c r="V707" s="3"/>
      <c r="W707" s="3"/>
    </row>
    <row r="708" spans="22:23" ht="13" x14ac:dyDescent="0.15">
      <c r="V708" s="3"/>
      <c r="W708" s="3"/>
    </row>
    <row r="709" spans="22:23" ht="13" x14ac:dyDescent="0.15">
      <c r="V709" s="3"/>
      <c r="W709" s="3"/>
    </row>
    <row r="710" spans="22:23" ht="13" x14ac:dyDescent="0.15">
      <c r="V710" s="3"/>
      <c r="W710" s="3"/>
    </row>
    <row r="711" spans="22:23" ht="13" x14ac:dyDescent="0.15">
      <c r="V711" s="3"/>
      <c r="W711" s="3"/>
    </row>
    <row r="712" spans="22:23" ht="13" x14ac:dyDescent="0.15">
      <c r="V712" s="3"/>
      <c r="W712" s="3"/>
    </row>
    <row r="713" spans="22:23" ht="13" x14ac:dyDescent="0.15">
      <c r="V713" s="3"/>
      <c r="W713" s="3"/>
    </row>
    <row r="714" spans="22:23" ht="13" x14ac:dyDescent="0.15">
      <c r="V714" s="3"/>
      <c r="W714" s="3"/>
    </row>
    <row r="715" spans="22:23" ht="13" x14ac:dyDescent="0.15">
      <c r="V715" s="3"/>
      <c r="W715" s="3"/>
    </row>
    <row r="716" spans="22:23" ht="13" x14ac:dyDescent="0.15">
      <c r="V716" s="3"/>
      <c r="W716" s="3"/>
    </row>
    <row r="717" spans="22:23" ht="13" x14ac:dyDescent="0.15">
      <c r="V717" s="3"/>
      <c r="W717" s="3"/>
    </row>
    <row r="718" spans="22:23" ht="13" x14ac:dyDescent="0.15">
      <c r="V718" s="3"/>
      <c r="W718" s="3"/>
    </row>
    <row r="719" spans="22:23" ht="13" x14ac:dyDescent="0.15">
      <c r="V719" s="3"/>
      <c r="W719" s="3"/>
    </row>
    <row r="720" spans="22:23" ht="13" x14ac:dyDescent="0.15">
      <c r="V720" s="3"/>
      <c r="W720" s="3"/>
    </row>
    <row r="721" spans="22:23" ht="13" x14ac:dyDescent="0.15">
      <c r="V721" s="3"/>
      <c r="W721" s="3"/>
    </row>
    <row r="722" spans="22:23" ht="13" x14ac:dyDescent="0.15">
      <c r="V722" s="3"/>
      <c r="W722" s="3"/>
    </row>
    <row r="723" spans="22:23" ht="13" x14ac:dyDescent="0.15">
      <c r="V723" s="3"/>
      <c r="W723" s="3"/>
    </row>
    <row r="724" spans="22:23" ht="13" x14ac:dyDescent="0.15">
      <c r="V724" s="3"/>
      <c r="W724" s="3"/>
    </row>
    <row r="725" spans="22:23" ht="13" x14ac:dyDescent="0.15">
      <c r="V725" s="3"/>
      <c r="W725" s="3"/>
    </row>
    <row r="726" spans="22:23" ht="13" x14ac:dyDescent="0.15">
      <c r="V726" s="3"/>
      <c r="W726" s="3"/>
    </row>
    <row r="727" spans="22:23" ht="13" x14ac:dyDescent="0.15">
      <c r="V727" s="3"/>
      <c r="W727" s="3"/>
    </row>
    <row r="728" spans="22:23" ht="13" x14ac:dyDescent="0.15">
      <c r="V728" s="3"/>
      <c r="W728" s="3"/>
    </row>
    <row r="729" spans="22:23" ht="13" x14ac:dyDescent="0.15">
      <c r="V729" s="3"/>
      <c r="W729" s="3"/>
    </row>
    <row r="730" spans="22:23" ht="13" x14ac:dyDescent="0.15">
      <c r="V730" s="3"/>
      <c r="W730" s="3"/>
    </row>
    <row r="731" spans="22:23" ht="13" x14ac:dyDescent="0.15">
      <c r="V731" s="3"/>
      <c r="W731" s="3"/>
    </row>
    <row r="732" spans="22:23" ht="13" x14ac:dyDescent="0.15">
      <c r="V732" s="3"/>
      <c r="W732" s="3"/>
    </row>
    <row r="733" spans="22:23" ht="13" x14ac:dyDescent="0.15">
      <c r="V733" s="3"/>
      <c r="W733" s="3"/>
    </row>
    <row r="734" spans="22:23" ht="13" x14ac:dyDescent="0.15">
      <c r="V734" s="3"/>
      <c r="W734" s="3"/>
    </row>
    <row r="735" spans="22:23" ht="13" x14ac:dyDescent="0.15">
      <c r="V735" s="3"/>
      <c r="W735" s="3"/>
    </row>
    <row r="736" spans="22:23" ht="13" x14ac:dyDescent="0.15">
      <c r="V736" s="3"/>
      <c r="W736" s="3"/>
    </row>
    <row r="737" spans="22:23" ht="13" x14ac:dyDescent="0.15">
      <c r="V737" s="3"/>
      <c r="W737" s="3"/>
    </row>
    <row r="738" spans="22:23" ht="13" x14ac:dyDescent="0.15">
      <c r="V738" s="3"/>
      <c r="W738" s="3"/>
    </row>
    <row r="739" spans="22:23" ht="13" x14ac:dyDescent="0.15">
      <c r="V739" s="3"/>
      <c r="W739" s="3"/>
    </row>
    <row r="740" spans="22:23" ht="13" x14ac:dyDescent="0.15">
      <c r="V740" s="3"/>
      <c r="W740" s="3"/>
    </row>
    <row r="741" spans="22:23" ht="13" x14ac:dyDescent="0.15">
      <c r="V741" s="3"/>
      <c r="W741" s="3"/>
    </row>
    <row r="742" spans="22:23" ht="13" x14ac:dyDescent="0.15">
      <c r="V742" s="3"/>
      <c r="W742" s="3"/>
    </row>
    <row r="743" spans="22:23" ht="13" x14ac:dyDescent="0.15">
      <c r="V743" s="3"/>
      <c r="W743" s="3"/>
    </row>
    <row r="744" spans="22:23" ht="13" x14ac:dyDescent="0.15">
      <c r="V744" s="3"/>
      <c r="W744" s="3"/>
    </row>
    <row r="745" spans="22:23" ht="13" x14ac:dyDescent="0.15">
      <c r="V745" s="3"/>
      <c r="W745" s="3"/>
    </row>
    <row r="746" spans="22:23" ht="13" x14ac:dyDescent="0.15">
      <c r="V746" s="3"/>
      <c r="W746" s="3"/>
    </row>
    <row r="747" spans="22:23" ht="13" x14ac:dyDescent="0.15">
      <c r="V747" s="3"/>
      <c r="W747" s="3"/>
    </row>
    <row r="748" spans="22:23" ht="13" x14ac:dyDescent="0.15">
      <c r="V748" s="3"/>
      <c r="W748" s="3"/>
    </row>
    <row r="749" spans="22:23" ht="13" x14ac:dyDescent="0.15">
      <c r="V749" s="3"/>
      <c r="W749" s="3"/>
    </row>
    <row r="750" spans="22:23" ht="13" x14ac:dyDescent="0.15">
      <c r="V750" s="3"/>
      <c r="W750" s="3"/>
    </row>
    <row r="751" spans="22:23" ht="13" x14ac:dyDescent="0.15">
      <c r="V751" s="3"/>
      <c r="W751" s="3"/>
    </row>
    <row r="752" spans="22:23" ht="13" x14ac:dyDescent="0.15">
      <c r="V752" s="3"/>
      <c r="W752" s="3"/>
    </row>
    <row r="753" spans="22:23" ht="13" x14ac:dyDescent="0.15">
      <c r="V753" s="3"/>
      <c r="W753" s="3"/>
    </row>
    <row r="754" spans="22:23" ht="13" x14ac:dyDescent="0.15">
      <c r="V754" s="3"/>
      <c r="W754" s="3"/>
    </row>
    <row r="755" spans="22:23" ht="13" x14ac:dyDescent="0.15">
      <c r="V755" s="3"/>
      <c r="W755" s="3"/>
    </row>
    <row r="756" spans="22:23" ht="13" x14ac:dyDescent="0.15">
      <c r="V756" s="3"/>
      <c r="W756" s="3"/>
    </row>
    <row r="757" spans="22:23" ht="13" x14ac:dyDescent="0.15">
      <c r="V757" s="3"/>
      <c r="W757" s="3"/>
    </row>
    <row r="758" spans="22:23" ht="13" x14ac:dyDescent="0.15">
      <c r="V758" s="3"/>
      <c r="W758" s="3"/>
    </row>
    <row r="759" spans="22:23" ht="13" x14ac:dyDescent="0.15">
      <c r="V759" s="3"/>
      <c r="W759" s="3"/>
    </row>
    <row r="760" spans="22:23" ht="13" x14ac:dyDescent="0.15">
      <c r="V760" s="3"/>
      <c r="W760" s="3"/>
    </row>
    <row r="761" spans="22:23" ht="13" x14ac:dyDescent="0.15">
      <c r="V761" s="3"/>
      <c r="W761" s="3"/>
    </row>
    <row r="762" spans="22:23" ht="13" x14ac:dyDescent="0.15">
      <c r="V762" s="3"/>
      <c r="W762" s="3"/>
    </row>
    <row r="763" spans="22:23" ht="13" x14ac:dyDescent="0.15">
      <c r="V763" s="3"/>
      <c r="W763" s="3"/>
    </row>
    <row r="764" spans="22:23" ht="13" x14ac:dyDescent="0.15">
      <c r="V764" s="3"/>
      <c r="W764" s="3"/>
    </row>
    <row r="765" spans="22:23" ht="13" x14ac:dyDescent="0.15">
      <c r="V765" s="3"/>
      <c r="W765" s="3"/>
    </row>
    <row r="766" spans="22:23" ht="13" x14ac:dyDescent="0.15">
      <c r="V766" s="3"/>
      <c r="W766" s="3"/>
    </row>
    <row r="767" spans="22:23" ht="13" x14ac:dyDescent="0.15">
      <c r="V767" s="3"/>
      <c r="W767" s="3"/>
    </row>
    <row r="768" spans="22:23" ht="13" x14ac:dyDescent="0.15">
      <c r="V768" s="3"/>
      <c r="W768" s="3"/>
    </row>
    <row r="769" spans="22:23" ht="13" x14ac:dyDescent="0.15">
      <c r="V769" s="3"/>
      <c r="W769" s="3"/>
    </row>
    <row r="770" spans="22:23" ht="13" x14ac:dyDescent="0.15">
      <c r="V770" s="3"/>
      <c r="W770" s="3"/>
    </row>
    <row r="771" spans="22:23" ht="13" x14ac:dyDescent="0.15">
      <c r="V771" s="3"/>
      <c r="W771" s="3"/>
    </row>
    <row r="772" spans="22:23" ht="13" x14ac:dyDescent="0.15">
      <c r="V772" s="3"/>
      <c r="W772" s="3"/>
    </row>
    <row r="773" spans="22:23" ht="13" x14ac:dyDescent="0.15">
      <c r="V773" s="3"/>
      <c r="W773" s="3"/>
    </row>
    <row r="774" spans="22:23" ht="13" x14ac:dyDescent="0.15">
      <c r="V774" s="3"/>
      <c r="W774" s="3"/>
    </row>
    <row r="775" spans="22:23" ht="13" x14ac:dyDescent="0.15">
      <c r="V775" s="3"/>
      <c r="W775" s="3"/>
    </row>
    <row r="776" spans="22:23" ht="13" x14ac:dyDescent="0.15">
      <c r="V776" s="3"/>
      <c r="W776" s="3"/>
    </row>
    <row r="777" spans="22:23" ht="13" x14ac:dyDescent="0.15">
      <c r="V777" s="3"/>
      <c r="W777" s="3"/>
    </row>
    <row r="778" spans="22:23" ht="13" x14ac:dyDescent="0.15">
      <c r="V778" s="3"/>
      <c r="W778" s="3"/>
    </row>
    <row r="779" spans="22:23" ht="13" x14ac:dyDescent="0.15">
      <c r="V779" s="3"/>
      <c r="W779" s="3"/>
    </row>
    <row r="780" spans="22:23" ht="13" x14ac:dyDescent="0.15">
      <c r="V780" s="3"/>
      <c r="W780" s="3"/>
    </row>
    <row r="781" spans="22:23" ht="13" x14ac:dyDescent="0.15">
      <c r="V781" s="3"/>
      <c r="W781" s="3"/>
    </row>
    <row r="782" spans="22:23" ht="13" x14ac:dyDescent="0.15">
      <c r="V782" s="3"/>
      <c r="W782" s="3"/>
    </row>
    <row r="783" spans="22:23" ht="13" x14ac:dyDescent="0.15">
      <c r="V783" s="3"/>
      <c r="W783" s="3"/>
    </row>
    <row r="784" spans="22:23" ht="13" x14ac:dyDescent="0.15">
      <c r="V784" s="3"/>
      <c r="W784" s="3"/>
    </row>
    <row r="785" spans="22:23" ht="13" x14ac:dyDescent="0.15">
      <c r="V785" s="3"/>
      <c r="W785" s="3"/>
    </row>
    <row r="786" spans="22:23" ht="13" x14ac:dyDescent="0.15">
      <c r="V786" s="3"/>
      <c r="W786" s="3"/>
    </row>
    <row r="787" spans="22:23" ht="13" x14ac:dyDescent="0.15">
      <c r="V787" s="3"/>
      <c r="W787" s="3"/>
    </row>
    <row r="788" spans="22:23" ht="13" x14ac:dyDescent="0.15">
      <c r="V788" s="3"/>
      <c r="W788" s="3"/>
    </row>
    <row r="789" spans="22:23" ht="13" x14ac:dyDescent="0.15">
      <c r="V789" s="3"/>
      <c r="W789" s="3"/>
    </row>
    <row r="790" spans="22:23" ht="13" x14ac:dyDescent="0.15">
      <c r="V790" s="3"/>
      <c r="W790" s="3"/>
    </row>
    <row r="791" spans="22:23" ht="13" x14ac:dyDescent="0.15">
      <c r="V791" s="3"/>
      <c r="W791" s="3"/>
    </row>
    <row r="792" spans="22:23" ht="13" x14ac:dyDescent="0.15">
      <c r="V792" s="3"/>
      <c r="W792" s="3"/>
    </row>
    <row r="793" spans="22:23" ht="13" x14ac:dyDescent="0.15">
      <c r="V793" s="3"/>
      <c r="W793" s="3"/>
    </row>
    <row r="794" spans="22:23" ht="13" x14ac:dyDescent="0.15">
      <c r="V794" s="3"/>
      <c r="W794" s="3"/>
    </row>
    <row r="795" spans="22:23" ht="13" x14ac:dyDescent="0.15">
      <c r="V795" s="3"/>
      <c r="W795" s="3"/>
    </row>
    <row r="796" spans="22:23" ht="13" x14ac:dyDescent="0.15">
      <c r="V796" s="3"/>
      <c r="W796" s="3"/>
    </row>
    <row r="797" spans="22:23" ht="13" x14ac:dyDescent="0.15">
      <c r="V797" s="3"/>
      <c r="W797" s="3"/>
    </row>
    <row r="798" spans="22:23" ht="13" x14ac:dyDescent="0.15">
      <c r="V798" s="3"/>
      <c r="W798" s="3"/>
    </row>
    <row r="799" spans="22:23" ht="13" x14ac:dyDescent="0.15">
      <c r="V799" s="3"/>
      <c r="W799" s="3"/>
    </row>
    <row r="800" spans="22:23" ht="13" x14ac:dyDescent="0.15">
      <c r="V800" s="3"/>
      <c r="W800" s="3"/>
    </row>
    <row r="801" spans="22:23" ht="13" x14ac:dyDescent="0.15">
      <c r="V801" s="3"/>
      <c r="W801" s="3"/>
    </row>
    <row r="802" spans="22:23" ht="13" x14ac:dyDescent="0.15">
      <c r="V802" s="3"/>
      <c r="W802" s="3"/>
    </row>
    <row r="803" spans="22:23" ht="13" x14ac:dyDescent="0.15">
      <c r="V803" s="3"/>
      <c r="W803" s="3"/>
    </row>
    <row r="804" spans="22:23" ht="13" x14ac:dyDescent="0.15">
      <c r="V804" s="3"/>
      <c r="W804" s="3"/>
    </row>
    <row r="805" spans="22:23" ht="13" x14ac:dyDescent="0.15">
      <c r="V805" s="3"/>
      <c r="W805" s="3"/>
    </row>
    <row r="806" spans="22:23" ht="13" x14ac:dyDescent="0.15">
      <c r="V806" s="3"/>
      <c r="W806" s="3"/>
    </row>
    <row r="807" spans="22:23" ht="13" x14ac:dyDescent="0.15">
      <c r="V807" s="3"/>
      <c r="W807" s="3"/>
    </row>
    <row r="808" spans="22:23" ht="13" x14ac:dyDescent="0.15">
      <c r="V808" s="3"/>
      <c r="W808" s="3"/>
    </row>
    <row r="809" spans="22:23" ht="13" x14ac:dyDescent="0.15">
      <c r="V809" s="3"/>
      <c r="W809" s="3"/>
    </row>
    <row r="810" spans="22:23" ht="13" x14ac:dyDescent="0.15">
      <c r="V810" s="3"/>
      <c r="W810" s="3"/>
    </row>
    <row r="811" spans="22:23" ht="13" x14ac:dyDescent="0.15">
      <c r="V811" s="3"/>
      <c r="W811" s="3"/>
    </row>
    <row r="812" spans="22:23" ht="13" x14ac:dyDescent="0.15">
      <c r="V812" s="3"/>
      <c r="W812" s="3"/>
    </row>
    <row r="813" spans="22:23" ht="13" x14ac:dyDescent="0.15">
      <c r="V813" s="3"/>
      <c r="W813" s="3"/>
    </row>
    <row r="814" spans="22:23" ht="13" x14ac:dyDescent="0.15">
      <c r="V814" s="3"/>
      <c r="W814" s="3"/>
    </row>
    <row r="815" spans="22:23" ht="13" x14ac:dyDescent="0.15">
      <c r="V815" s="3"/>
      <c r="W815" s="3"/>
    </row>
    <row r="816" spans="22:23" ht="13" x14ac:dyDescent="0.15">
      <c r="V816" s="3"/>
      <c r="W816" s="3"/>
    </row>
    <row r="817" spans="22:23" ht="13" x14ac:dyDescent="0.15">
      <c r="V817" s="3"/>
      <c r="W817" s="3"/>
    </row>
    <row r="818" spans="22:23" ht="13" x14ac:dyDescent="0.15">
      <c r="V818" s="3"/>
      <c r="W818" s="3"/>
    </row>
    <row r="819" spans="22:23" ht="13" x14ac:dyDescent="0.15">
      <c r="V819" s="3"/>
      <c r="W819" s="3"/>
    </row>
    <row r="820" spans="22:23" ht="13" x14ac:dyDescent="0.15">
      <c r="V820" s="3"/>
      <c r="W820" s="3"/>
    </row>
    <row r="821" spans="22:23" ht="13" x14ac:dyDescent="0.15">
      <c r="V821" s="3"/>
      <c r="W821" s="3"/>
    </row>
    <row r="822" spans="22:23" ht="13" x14ac:dyDescent="0.15">
      <c r="V822" s="3"/>
      <c r="W822" s="3"/>
    </row>
    <row r="823" spans="22:23" ht="13" x14ac:dyDescent="0.15">
      <c r="V823" s="3"/>
      <c r="W823" s="3"/>
    </row>
    <row r="824" spans="22:23" ht="13" x14ac:dyDescent="0.15">
      <c r="V824" s="3"/>
      <c r="W824" s="3"/>
    </row>
    <row r="825" spans="22:23" ht="13" x14ac:dyDescent="0.15">
      <c r="V825" s="3"/>
      <c r="W825" s="3"/>
    </row>
    <row r="826" spans="22:23" ht="13" x14ac:dyDescent="0.15">
      <c r="V826" s="3"/>
      <c r="W826" s="3"/>
    </row>
    <row r="827" spans="22:23" ht="13" x14ac:dyDescent="0.15">
      <c r="V827" s="3"/>
      <c r="W827" s="3"/>
    </row>
    <row r="828" spans="22:23" ht="13" x14ac:dyDescent="0.15">
      <c r="V828" s="3"/>
      <c r="W828" s="3"/>
    </row>
    <row r="829" spans="22:23" ht="13" x14ac:dyDescent="0.15">
      <c r="V829" s="3"/>
      <c r="W829" s="3"/>
    </row>
    <row r="830" spans="22:23" ht="13" x14ac:dyDescent="0.15">
      <c r="V830" s="3"/>
      <c r="W830" s="3"/>
    </row>
    <row r="831" spans="22:23" ht="13" x14ac:dyDescent="0.15">
      <c r="V831" s="3"/>
      <c r="W831" s="3"/>
    </row>
    <row r="832" spans="22:23" ht="13" x14ac:dyDescent="0.15">
      <c r="V832" s="3"/>
      <c r="W832" s="3"/>
    </row>
    <row r="833" spans="22:23" ht="13" x14ac:dyDescent="0.15">
      <c r="V833" s="3"/>
      <c r="W833" s="3"/>
    </row>
    <row r="834" spans="22:23" ht="13" x14ac:dyDescent="0.15">
      <c r="V834" s="3"/>
      <c r="W834" s="3"/>
    </row>
    <row r="835" spans="22:23" ht="13" x14ac:dyDescent="0.15">
      <c r="V835" s="3"/>
      <c r="W835" s="3"/>
    </row>
    <row r="836" spans="22:23" ht="13" x14ac:dyDescent="0.15">
      <c r="V836" s="3"/>
      <c r="W836" s="3"/>
    </row>
    <row r="837" spans="22:23" ht="13" x14ac:dyDescent="0.15">
      <c r="V837" s="3"/>
      <c r="W837" s="3"/>
    </row>
    <row r="838" spans="22:23" ht="13" x14ac:dyDescent="0.15">
      <c r="V838" s="3"/>
      <c r="W838" s="3"/>
    </row>
    <row r="839" spans="22:23" ht="13" x14ac:dyDescent="0.15">
      <c r="V839" s="3"/>
      <c r="W839" s="3"/>
    </row>
    <row r="840" spans="22:23" ht="13" x14ac:dyDescent="0.15">
      <c r="V840" s="3"/>
      <c r="W840" s="3"/>
    </row>
    <row r="841" spans="22:23" ht="13" x14ac:dyDescent="0.15">
      <c r="V841" s="3"/>
      <c r="W841" s="3"/>
    </row>
    <row r="842" spans="22:23" ht="13" x14ac:dyDescent="0.15">
      <c r="V842" s="3"/>
      <c r="W842" s="3"/>
    </row>
    <row r="843" spans="22:23" ht="13" x14ac:dyDescent="0.15">
      <c r="V843" s="3"/>
      <c r="W843" s="3"/>
    </row>
    <row r="844" spans="22:23" ht="13" x14ac:dyDescent="0.15">
      <c r="V844" s="3"/>
      <c r="W844" s="3"/>
    </row>
    <row r="845" spans="22:23" ht="13" x14ac:dyDescent="0.15">
      <c r="V845" s="3"/>
      <c r="W845" s="3"/>
    </row>
    <row r="846" spans="22:23" ht="13" x14ac:dyDescent="0.15">
      <c r="V846" s="3"/>
      <c r="W846" s="3"/>
    </row>
    <row r="847" spans="22:23" ht="13" x14ac:dyDescent="0.15">
      <c r="V847" s="3"/>
      <c r="W847" s="3"/>
    </row>
    <row r="848" spans="22:23" ht="13" x14ac:dyDescent="0.15">
      <c r="V848" s="3"/>
      <c r="W848" s="3"/>
    </row>
    <row r="849" spans="22:23" ht="13" x14ac:dyDescent="0.15">
      <c r="V849" s="3"/>
      <c r="W849" s="3"/>
    </row>
    <row r="850" spans="22:23" ht="13" x14ac:dyDescent="0.15">
      <c r="V850" s="3"/>
      <c r="W850" s="3"/>
    </row>
    <row r="851" spans="22:23" ht="13" x14ac:dyDescent="0.15">
      <c r="V851" s="3"/>
      <c r="W851" s="3"/>
    </row>
    <row r="852" spans="22:23" ht="13" x14ac:dyDescent="0.15">
      <c r="V852" s="3"/>
      <c r="W852" s="3"/>
    </row>
    <row r="853" spans="22:23" ht="13" x14ac:dyDescent="0.15">
      <c r="V853" s="3"/>
      <c r="W853" s="3"/>
    </row>
    <row r="854" spans="22:23" ht="13" x14ac:dyDescent="0.15">
      <c r="V854" s="3"/>
      <c r="W854" s="3"/>
    </row>
    <row r="855" spans="22:23" ht="13" x14ac:dyDescent="0.15">
      <c r="V855" s="3"/>
      <c r="W855" s="3"/>
    </row>
    <row r="856" spans="22:23" ht="13" x14ac:dyDescent="0.15">
      <c r="V856" s="3"/>
      <c r="W856" s="3"/>
    </row>
    <row r="857" spans="22:23" ht="13" x14ac:dyDescent="0.15">
      <c r="V857" s="3"/>
      <c r="W857" s="3"/>
    </row>
    <row r="858" spans="22:23" ht="13" x14ac:dyDescent="0.15">
      <c r="V858" s="3"/>
      <c r="W858" s="3"/>
    </row>
    <row r="859" spans="22:23" ht="13" x14ac:dyDescent="0.15">
      <c r="V859" s="3"/>
      <c r="W859" s="3"/>
    </row>
    <row r="860" spans="22:23" ht="13" x14ac:dyDescent="0.15">
      <c r="V860" s="3"/>
      <c r="W860" s="3"/>
    </row>
    <row r="861" spans="22:23" ht="13" x14ac:dyDescent="0.15">
      <c r="V861" s="3"/>
      <c r="W861" s="3"/>
    </row>
    <row r="862" spans="22:23" ht="13" x14ac:dyDescent="0.15">
      <c r="V862" s="3"/>
      <c r="W862" s="3"/>
    </row>
    <row r="863" spans="22:23" ht="13" x14ac:dyDescent="0.15">
      <c r="V863" s="3"/>
      <c r="W863" s="3"/>
    </row>
    <row r="864" spans="22:23" ht="13" x14ac:dyDescent="0.15">
      <c r="V864" s="3"/>
      <c r="W864" s="3"/>
    </row>
    <row r="865" spans="22:23" ht="13" x14ac:dyDescent="0.15">
      <c r="V865" s="3"/>
      <c r="W865" s="3"/>
    </row>
    <row r="866" spans="22:23" ht="13" x14ac:dyDescent="0.15">
      <c r="V866" s="3"/>
      <c r="W866" s="3"/>
    </row>
    <row r="867" spans="22:23" ht="13" x14ac:dyDescent="0.15">
      <c r="V867" s="3"/>
      <c r="W867" s="3"/>
    </row>
    <row r="868" spans="22:23" ht="13" x14ac:dyDescent="0.15">
      <c r="V868" s="3"/>
      <c r="W868" s="3"/>
    </row>
    <row r="869" spans="22:23" ht="13" x14ac:dyDescent="0.15">
      <c r="V869" s="3"/>
      <c r="W869" s="3"/>
    </row>
    <row r="870" spans="22:23" ht="13" x14ac:dyDescent="0.15">
      <c r="V870" s="3"/>
      <c r="W870" s="3"/>
    </row>
    <row r="871" spans="22:23" ht="13" x14ac:dyDescent="0.15">
      <c r="V871" s="3"/>
      <c r="W871" s="3"/>
    </row>
    <row r="872" spans="22:23" ht="13" x14ac:dyDescent="0.15">
      <c r="V872" s="3"/>
      <c r="W872" s="3"/>
    </row>
    <row r="873" spans="22:23" ht="13" x14ac:dyDescent="0.15">
      <c r="V873" s="3"/>
      <c r="W873" s="3"/>
    </row>
    <row r="874" spans="22:23" ht="13" x14ac:dyDescent="0.15">
      <c r="V874" s="3"/>
      <c r="W874" s="3"/>
    </row>
    <row r="875" spans="22:23" ht="13" x14ac:dyDescent="0.15">
      <c r="V875" s="3"/>
      <c r="W875" s="3"/>
    </row>
    <row r="876" spans="22:23" ht="13" x14ac:dyDescent="0.15">
      <c r="V876" s="3"/>
      <c r="W876" s="3"/>
    </row>
    <row r="877" spans="22:23" ht="13" x14ac:dyDescent="0.15">
      <c r="V877" s="3"/>
      <c r="W877" s="3"/>
    </row>
    <row r="878" spans="22:23" ht="13" x14ac:dyDescent="0.15">
      <c r="V878" s="3"/>
      <c r="W878" s="3"/>
    </row>
    <row r="879" spans="22:23" ht="13" x14ac:dyDescent="0.15">
      <c r="V879" s="3"/>
      <c r="W879" s="3"/>
    </row>
    <row r="880" spans="22:23" ht="13" x14ac:dyDescent="0.15">
      <c r="V880" s="3"/>
      <c r="W880" s="3"/>
    </row>
    <row r="881" spans="22:23" ht="13" x14ac:dyDescent="0.15">
      <c r="V881" s="3"/>
      <c r="W881" s="3"/>
    </row>
    <row r="882" spans="22:23" ht="13" x14ac:dyDescent="0.15">
      <c r="V882" s="3"/>
      <c r="W882" s="3"/>
    </row>
    <row r="883" spans="22:23" ht="13" x14ac:dyDescent="0.15">
      <c r="V883" s="3"/>
      <c r="W883" s="3"/>
    </row>
    <row r="884" spans="22:23" ht="13" x14ac:dyDescent="0.15">
      <c r="V884" s="3"/>
      <c r="W884" s="3"/>
    </row>
    <row r="885" spans="22:23" ht="13" x14ac:dyDescent="0.15">
      <c r="V885" s="3"/>
      <c r="W885" s="3"/>
    </row>
    <row r="886" spans="22:23" ht="13" x14ac:dyDescent="0.15">
      <c r="V886" s="3"/>
      <c r="W886" s="3"/>
    </row>
    <row r="887" spans="22:23" ht="13" x14ac:dyDescent="0.15">
      <c r="V887" s="3"/>
      <c r="W887" s="3"/>
    </row>
    <row r="888" spans="22:23" ht="13" x14ac:dyDescent="0.15">
      <c r="V888" s="3"/>
      <c r="W888" s="3"/>
    </row>
    <row r="889" spans="22:23" ht="13" x14ac:dyDescent="0.15">
      <c r="V889" s="3"/>
      <c r="W889" s="3"/>
    </row>
    <row r="890" spans="22:23" ht="13" x14ac:dyDescent="0.15">
      <c r="V890" s="3"/>
      <c r="W890" s="3"/>
    </row>
    <row r="891" spans="22:23" ht="13" x14ac:dyDescent="0.15">
      <c r="V891" s="3"/>
      <c r="W891" s="3"/>
    </row>
    <row r="892" spans="22:23" ht="13" x14ac:dyDescent="0.15">
      <c r="V892" s="3"/>
      <c r="W892" s="3"/>
    </row>
    <row r="893" spans="22:23" ht="13" x14ac:dyDescent="0.15">
      <c r="V893" s="3"/>
      <c r="W893" s="3"/>
    </row>
    <row r="894" spans="22:23" ht="13" x14ac:dyDescent="0.15">
      <c r="V894" s="3"/>
      <c r="W894" s="3"/>
    </row>
    <row r="895" spans="22:23" ht="13" x14ac:dyDescent="0.15">
      <c r="V895" s="3"/>
      <c r="W895" s="3"/>
    </row>
    <row r="896" spans="22:23" ht="13" x14ac:dyDescent="0.15">
      <c r="V896" s="3"/>
      <c r="W896" s="3"/>
    </row>
    <row r="897" spans="22:23" ht="13" x14ac:dyDescent="0.15">
      <c r="V897" s="3"/>
      <c r="W897" s="3"/>
    </row>
    <row r="898" spans="22:23" ht="13" x14ac:dyDescent="0.15">
      <c r="V898" s="3"/>
      <c r="W898" s="3"/>
    </row>
    <row r="899" spans="22:23" ht="13" x14ac:dyDescent="0.15">
      <c r="V899" s="3"/>
      <c r="W899" s="3"/>
    </row>
    <row r="900" spans="22:23" ht="13" x14ac:dyDescent="0.15">
      <c r="V900" s="3"/>
      <c r="W900" s="3"/>
    </row>
    <row r="901" spans="22:23" ht="13" x14ac:dyDescent="0.15">
      <c r="V901" s="3"/>
      <c r="W901" s="3"/>
    </row>
    <row r="902" spans="22:23" ht="13" x14ac:dyDescent="0.15">
      <c r="V902" s="3"/>
      <c r="W902" s="3"/>
    </row>
    <row r="903" spans="22:23" ht="13" x14ac:dyDescent="0.15">
      <c r="V903" s="3"/>
      <c r="W903" s="3"/>
    </row>
    <row r="904" spans="22:23" ht="13" x14ac:dyDescent="0.15">
      <c r="V904" s="3"/>
      <c r="W904" s="3"/>
    </row>
    <row r="905" spans="22:23" ht="13" x14ac:dyDescent="0.15">
      <c r="V905" s="3"/>
      <c r="W905" s="3"/>
    </row>
    <row r="906" spans="22:23" ht="13" x14ac:dyDescent="0.15">
      <c r="V906" s="3"/>
      <c r="W906" s="3"/>
    </row>
    <row r="907" spans="22:23" ht="13" x14ac:dyDescent="0.15">
      <c r="V907" s="3"/>
      <c r="W907" s="3"/>
    </row>
    <row r="908" spans="22:23" ht="13" x14ac:dyDescent="0.15">
      <c r="V908" s="3"/>
      <c r="W908" s="3"/>
    </row>
    <row r="909" spans="22:23" ht="13" x14ac:dyDescent="0.15">
      <c r="V909" s="3"/>
      <c r="W909" s="3"/>
    </row>
    <row r="910" spans="22:23" ht="13" x14ac:dyDescent="0.15">
      <c r="V910" s="3"/>
      <c r="W910" s="3"/>
    </row>
    <row r="911" spans="22:23" ht="13" x14ac:dyDescent="0.15">
      <c r="V911" s="3"/>
      <c r="W911" s="3"/>
    </row>
    <row r="912" spans="22:23" ht="13" x14ac:dyDescent="0.15">
      <c r="V912" s="3"/>
      <c r="W912" s="3"/>
    </row>
    <row r="913" spans="22:23" ht="13" x14ac:dyDescent="0.15">
      <c r="V913" s="3"/>
      <c r="W913" s="3"/>
    </row>
    <row r="914" spans="22:23" ht="13" x14ac:dyDescent="0.15">
      <c r="V914" s="3"/>
      <c r="W914" s="3"/>
    </row>
    <row r="915" spans="22:23" ht="13" x14ac:dyDescent="0.15">
      <c r="V915" s="3"/>
      <c r="W915" s="3"/>
    </row>
    <row r="916" spans="22:23" ht="13" x14ac:dyDescent="0.15">
      <c r="V916" s="3"/>
      <c r="W916" s="3"/>
    </row>
    <row r="917" spans="22:23" ht="13" x14ac:dyDescent="0.15">
      <c r="V917" s="3"/>
      <c r="W917" s="3"/>
    </row>
    <row r="918" spans="22:23" ht="13" x14ac:dyDescent="0.15">
      <c r="V918" s="3"/>
      <c r="W918" s="3"/>
    </row>
    <row r="919" spans="22:23" ht="13" x14ac:dyDescent="0.15">
      <c r="V919" s="3"/>
      <c r="W919" s="3"/>
    </row>
    <row r="920" spans="22:23" ht="13" x14ac:dyDescent="0.15">
      <c r="V920" s="3"/>
      <c r="W920" s="3"/>
    </row>
    <row r="921" spans="22:23" ht="13" x14ac:dyDescent="0.15">
      <c r="V921" s="3"/>
      <c r="W921" s="3"/>
    </row>
    <row r="922" spans="22:23" ht="13" x14ac:dyDescent="0.15">
      <c r="V922" s="3"/>
      <c r="W922" s="3"/>
    </row>
    <row r="923" spans="22:23" ht="13" x14ac:dyDescent="0.15">
      <c r="V923" s="3"/>
      <c r="W923" s="3"/>
    </row>
    <row r="924" spans="22:23" ht="13" x14ac:dyDescent="0.15">
      <c r="V924" s="3"/>
      <c r="W924" s="3"/>
    </row>
    <row r="925" spans="22:23" ht="13" x14ac:dyDescent="0.15">
      <c r="V925" s="3"/>
      <c r="W925" s="3"/>
    </row>
    <row r="926" spans="22:23" ht="13" x14ac:dyDescent="0.15">
      <c r="V926" s="3"/>
      <c r="W926" s="3"/>
    </row>
    <row r="927" spans="22:23" ht="13" x14ac:dyDescent="0.15">
      <c r="V927" s="3"/>
      <c r="W927" s="3"/>
    </row>
    <row r="928" spans="22:23" ht="13" x14ac:dyDescent="0.15">
      <c r="V928" s="3"/>
      <c r="W928" s="3"/>
    </row>
    <row r="929" spans="22:23" ht="13" x14ac:dyDescent="0.15">
      <c r="V929" s="3"/>
      <c r="W929" s="3"/>
    </row>
    <row r="930" spans="22:23" ht="13" x14ac:dyDescent="0.15">
      <c r="V930" s="3"/>
      <c r="W930" s="3"/>
    </row>
    <row r="931" spans="22:23" ht="13" x14ac:dyDescent="0.15">
      <c r="V931" s="3"/>
      <c r="W931" s="3"/>
    </row>
    <row r="932" spans="22:23" ht="13" x14ac:dyDescent="0.15">
      <c r="V932" s="3"/>
      <c r="W932" s="3"/>
    </row>
    <row r="933" spans="22:23" ht="13" x14ac:dyDescent="0.15">
      <c r="V933" s="3"/>
      <c r="W933" s="3"/>
    </row>
    <row r="934" spans="22:23" ht="13" x14ac:dyDescent="0.15">
      <c r="V934" s="3"/>
      <c r="W934" s="3"/>
    </row>
    <row r="935" spans="22:23" ht="13" x14ac:dyDescent="0.15">
      <c r="V935" s="3"/>
      <c r="W935" s="3"/>
    </row>
    <row r="936" spans="22:23" ht="13" x14ac:dyDescent="0.15">
      <c r="V936" s="3"/>
      <c r="W936" s="3"/>
    </row>
    <row r="937" spans="22:23" ht="13" x14ac:dyDescent="0.15">
      <c r="V937" s="3"/>
      <c r="W937" s="3"/>
    </row>
    <row r="938" spans="22:23" ht="13" x14ac:dyDescent="0.15">
      <c r="V938" s="3"/>
      <c r="W938" s="3"/>
    </row>
    <row r="939" spans="22:23" ht="13" x14ac:dyDescent="0.15">
      <c r="V939" s="3"/>
      <c r="W939" s="3"/>
    </row>
    <row r="940" spans="22:23" ht="13" x14ac:dyDescent="0.15">
      <c r="V940" s="3"/>
      <c r="W940" s="3"/>
    </row>
    <row r="941" spans="22:23" ht="13" x14ac:dyDescent="0.15">
      <c r="V941" s="3"/>
      <c r="W941" s="3"/>
    </row>
    <row r="942" spans="22:23" ht="13" x14ac:dyDescent="0.15">
      <c r="V942" s="3"/>
      <c r="W942" s="3"/>
    </row>
    <row r="943" spans="22:23" ht="13" x14ac:dyDescent="0.15">
      <c r="V943" s="3"/>
      <c r="W943" s="3"/>
    </row>
    <row r="944" spans="22:23" ht="13" x14ac:dyDescent="0.15">
      <c r="V944" s="3"/>
      <c r="W944" s="3"/>
    </row>
    <row r="945" spans="22:23" ht="13" x14ac:dyDescent="0.15">
      <c r="V945" s="3"/>
      <c r="W945" s="3"/>
    </row>
    <row r="946" spans="22:23" ht="13" x14ac:dyDescent="0.15">
      <c r="V946" s="3"/>
      <c r="W946" s="3"/>
    </row>
    <row r="947" spans="22:23" ht="13" x14ac:dyDescent="0.15">
      <c r="V947" s="3"/>
      <c r="W947" s="3"/>
    </row>
    <row r="948" spans="22:23" ht="13" x14ac:dyDescent="0.15">
      <c r="V948" s="3"/>
      <c r="W948" s="3"/>
    </row>
    <row r="949" spans="22:23" ht="13" x14ac:dyDescent="0.15">
      <c r="V949" s="3"/>
      <c r="W949" s="3"/>
    </row>
    <row r="950" spans="22:23" ht="13" x14ac:dyDescent="0.15">
      <c r="V950" s="3"/>
      <c r="W950" s="3"/>
    </row>
    <row r="951" spans="22:23" ht="13" x14ac:dyDescent="0.15">
      <c r="V951" s="3"/>
      <c r="W951" s="3"/>
    </row>
    <row r="952" spans="22:23" ht="13" x14ac:dyDescent="0.15">
      <c r="V952" s="3"/>
      <c r="W952" s="3"/>
    </row>
    <row r="953" spans="22:23" ht="13" x14ac:dyDescent="0.15">
      <c r="V953" s="3"/>
      <c r="W953" s="3"/>
    </row>
    <row r="954" spans="22:23" ht="13" x14ac:dyDescent="0.15">
      <c r="V954" s="3"/>
      <c r="W954" s="3"/>
    </row>
    <row r="955" spans="22:23" ht="13" x14ac:dyDescent="0.15">
      <c r="V955" s="3"/>
      <c r="W955" s="3"/>
    </row>
    <row r="956" spans="22:23" ht="13" x14ac:dyDescent="0.15">
      <c r="V956" s="3"/>
      <c r="W956" s="3"/>
    </row>
    <row r="957" spans="22:23" ht="13" x14ac:dyDescent="0.15">
      <c r="V957" s="3"/>
      <c r="W957" s="3"/>
    </row>
    <row r="958" spans="22:23" ht="13" x14ac:dyDescent="0.15">
      <c r="V958" s="3"/>
      <c r="W958" s="3"/>
    </row>
    <row r="959" spans="22:23" ht="13" x14ac:dyDescent="0.15">
      <c r="V959" s="3"/>
      <c r="W959" s="3"/>
    </row>
    <row r="960" spans="22:23" ht="13" x14ac:dyDescent="0.15">
      <c r="V960" s="3"/>
      <c r="W960" s="3"/>
    </row>
    <row r="961" spans="22:23" ht="13" x14ac:dyDescent="0.15">
      <c r="V961" s="3"/>
      <c r="W961" s="3"/>
    </row>
    <row r="962" spans="22:23" ht="13" x14ac:dyDescent="0.15">
      <c r="V962" s="3"/>
      <c r="W962" s="3"/>
    </row>
    <row r="963" spans="22:23" ht="13" x14ac:dyDescent="0.15">
      <c r="V963" s="3"/>
      <c r="W963" s="3"/>
    </row>
    <row r="964" spans="22:23" ht="13" x14ac:dyDescent="0.15">
      <c r="V964" s="3"/>
      <c r="W964" s="3"/>
    </row>
    <row r="965" spans="22:23" ht="13" x14ac:dyDescent="0.15">
      <c r="V965" s="3"/>
      <c r="W965" s="3"/>
    </row>
    <row r="966" spans="22:23" ht="13" x14ac:dyDescent="0.15">
      <c r="V966" s="3"/>
      <c r="W966" s="3"/>
    </row>
    <row r="967" spans="22:23" ht="13" x14ac:dyDescent="0.15">
      <c r="V967" s="3"/>
      <c r="W967" s="3"/>
    </row>
    <row r="968" spans="22:23" ht="13" x14ac:dyDescent="0.15">
      <c r="V968" s="3"/>
      <c r="W968" s="3"/>
    </row>
    <row r="969" spans="22:23" ht="13" x14ac:dyDescent="0.15">
      <c r="V969" s="3"/>
      <c r="W969" s="3"/>
    </row>
    <row r="970" spans="22:23" ht="13" x14ac:dyDescent="0.15">
      <c r="V970" s="3"/>
      <c r="W970" s="3"/>
    </row>
    <row r="971" spans="22:23" ht="13" x14ac:dyDescent="0.15">
      <c r="V971" s="3"/>
      <c r="W971" s="3"/>
    </row>
    <row r="972" spans="22:23" ht="13" x14ac:dyDescent="0.15">
      <c r="V972" s="3"/>
      <c r="W972" s="3"/>
    </row>
    <row r="973" spans="22:23" ht="13" x14ac:dyDescent="0.15">
      <c r="V973" s="3"/>
      <c r="W973" s="3"/>
    </row>
    <row r="974" spans="22:23" ht="13" x14ac:dyDescent="0.15">
      <c r="V974" s="3"/>
      <c r="W974" s="3"/>
    </row>
    <row r="975" spans="22:23" ht="13" x14ac:dyDescent="0.15">
      <c r="V975" s="3"/>
      <c r="W975" s="3"/>
    </row>
    <row r="976" spans="22:23" ht="13" x14ac:dyDescent="0.15">
      <c r="V976" s="3"/>
      <c r="W976" s="3"/>
    </row>
    <row r="977" spans="22:23" ht="13" x14ac:dyDescent="0.15">
      <c r="V977" s="3"/>
      <c r="W977" s="3"/>
    </row>
    <row r="978" spans="22:23" ht="13" x14ac:dyDescent="0.15">
      <c r="V978" s="3"/>
      <c r="W978" s="3"/>
    </row>
    <row r="979" spans="22:23" ht="13" x14ac:dyDescent="0.15">
      <c r="V979" s="3"/>
      <c r="W979" s="3"/>
    </row>
  </sheetData>
  <dataValidations count="5">
    <dataValidation type="list" allowBlank="1" showErrorMessage="1" sqref="X11:X19 X2:X9" xr:uid="{00000000-0002-0000-0000-000000000000}">
      <formula1>"Good Rotation,Lateral Shift ,Unable "</formula1>
    </dataValidation>
    <dataValidation type="list" allowBlank="1" showErrorMessage="1" sqref="X10" xr:uid="{00000000-0002-0000-0000-000004000000}">
      <formula1>"Good Rotation,Lateral Shift ,Unable ,limited to right "</formula1>
    </dataValidation>
    <dataValidation type="list" allowBlank="1" showErrorMessage="1" sqref="AB2:AC19" xr:uid="{00000000-0002-0000-0000-000001000000}">
      <formula1>"Good,Trunk Stability ,LE Stability "</formula1>
    </dataValidation>
    <dataValidation type="list" allowBlank="1" showErrorMessage="1" sqref="Y2:Y19" xr:uid="{00000000-0002-0000-0000-000002000000}">
      <formula1>"Good,Shake &amp; Bake,No Posterior Tilt ,No Anterior Tilt"</formula1>
    </dataValidation>
    <dataValidation type="list" allowBlank="1" showErrorMessage="1" sqref="Z2:AA19" xr:uid="{00000000-0002-0000-0000-000003000000}">
      <formula1>"Good,Knee Valgus - Foot/hip,Poor Eccentric Control"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27"/>
  <sheetViews>
    <sheetView workbookViewId="0">
      <pane ySplit="1" topLeftCell="A2" activePane="bottomLeft" state="frozen"/>
      <selection pane="bottomLeft" activeCell="C38" sqref="C38"/>
    </sheetView>
  </sheetViews>
  <sheetFormatPr baseColWidth="10" defaultColWidth="12.6640625" defaultRowHeight="15.75" customHeight="1" x14ac:dyDescent="0.15"/>
  <cols>
    <col min="1" max="1" width="15.1640625" customWidth="1"/>
    <col min="2" max="2" width="23" customWidth="1"/>
    <col min="3" max="3" width="25.33203125" customWidth="1"/>
    <col min="4" max="4" width="15.1640625" customWidth="1"/>
  </cols>
  <sheetData>
    <row r="1" spans="1:26" ht="15.75" customHeight="1" x14ac:dyDescent="0.1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4" t="str">
        <f>'Table Assessment'!A2</f>
        <v xml:space="preserve">Nick </v>
      </c>
      <c r="B2" s="4" t="s">
        <v>57</v>
      </c>
      <c r="C2" s="4" t="s">
        <v>58</v>
      </c>
      <c r="D2" s="4" t="s">
        <v>59</v>
      </c>
      <c r="E2" s="4" t="s">
        <v>60</v>
      </c>
      <c r="F2" s="4" t="s">
        <v>60</v>
      </c>
      <c r="G2" s="4" t="s">
        <v>61</v>
      </c>
    </row>
    <row r="3" spans="1:26" ht="15.75" customHeight="1" x14ac:dyDescent="0.15">
      <c r="A3" s="4" t="str">
        <f>'Table Assessment'!A3</f>
        <v xml:space="preserve">Xavier </v>
      </c>
      <c r="B3" s="4" t="s">
        <v>62</v>
      </c>
      <c r="C3" s="4" t="s">
        <v>63</v>
      </c>
      <c r="D3" s="4" t="s">
        <v>64</v>
      </c>
      <c r="E3" s="4" t="s">
        <v>65</v>
      </c>
      <c r="F3" s="4" t="s">
        <v>64</v>
      </c>
      <c r="G3" s="4" t="s">
        <v>66</v>
      </c>
    </row>
    <row r="4" spans="1:26" ht="15.75" customHeight="1" x14ac:dyDescent="0.15">
      <c r="A4" s="4" t="str">
        <f>'Table Assessment'!A4</f>
        <v xml:space="preserve">John </v>
      </c>
      <c r="B4" s="4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64</v>
      </c>
    </row>
    <row r="5" spans="1:26" ht="15.75" customHeight="1" x14ac:dyDescent="0.15">
      <c r="A5" s="4" t="str">
        <f>'Table Assessment'!A5</f>
        <v xml:space="preserve">Joe </v>
      </c>
      <c r="B5" s="4" t="s">
        <v>72</v>
      </c>
      <c r="C5" s="4" t="s">
        <v>58</v>
      </c>
      <c r="D5" s="4" t="s">
        <v>59</v>
      </c>
      <c r="E5" s="4" t="s">
        <v>73</v>
      </c>
      <c r="F5" s="4" t="s">
        <v>62</v>
      </c>
      <c r="G5" s="4" t="s">
        <v>61</v>
      </c>
    </row>
    <row r="6" spans="1:26" ht="15.75" customHeight="1" x14ac:dyDescent="0.15">
      <c r="A6" s="4" t="str">
        <f>'Table Assessment'!A6</f>
        <v xml:space="preserve">Liam </v>
      </c>
      <c r="B6" s="4" t="s">
        <v>74</v>
      </c>
      <c r="C6" s="4" t="s">
        <v>75</v>
      </c>
      <c r="D6" s="4" t="s">
        <v>74</v>
      </c>
      <c r="E6" s="4" t="s">
        <v>76</v>
      </c>
      <c r="F6" s="4" t="s">
        <v>77</v>
      </c>
      <c r="G6" s="4" t="s">
        <v>77</v>
      </c>
    </row>
    <row r="7" spans="1:26" ht="15.75" customHeight="1" x14ac:dyDescent="0.15">
      <c r="A7" s="4" t="str">
        <f>'Table Assessment'!A7</f>
        <v xml:space="preserve">Rafael </v>
      </c>
      <c r="B7" s="4" t="s">
        <v>72</v>
      </c>
      <c r="C7" s="4" t="s">
        <v>58</v>
      </c>
      <c r="D7" s="4" t="s">
        <v>62</v>
      </c>
      <c r="E7" s="4" t="s">
        <v>59</v>
      </c>
      <c r="F7" s="4" t="s">
        <v>78</v>
      </c>
      <c r="G7" s="4" t="s">
        <v>78</v>
      </c>
    </row>
    <row r="8" spans="1:26" ht="15.75" customHeight="1" x14ac:dyDescent="0.15">
      <c r="A8" s="4" t="str">
        <f>'Table Assessment'!A8</f>
        <v>Jaxsyn</v>
      </c>
      <c r="B8" s="4" t="s">
        <v>79</v>
      </c>
      <c r="C8" s="4" t="s">
        <v>80</v>
      </c>
      <c r="D8" s="4" t="s">
        <v>62</v>
      </c>
      <c r="E8" s="4" t="s">
        <v>81</v>
      </c>
      <c r="F8" s="4" t="s">
        <v>73</v>
      </c>
      <c r="G8" s="4" t="s">
        <v>73</v>
      </c>
    </row>
    <row r="9" spans="1:26" ht="15.75" customHeight="1" x14ac:dyDescent="0.15">
      <c r="A9" s="4" t="str">
        <f>'Table Assessment'!A9</f>
        <v xml:space="preserve">Justin </v>
      </c>
      <c r="B9" s="4" t="s">
        <v>82</v>
      </c>
      <c r="C9" s="4" t="s">
        <v>70</v>
      </c>
      <c r="D9" s="4" t="s">
        <v>73</v>
      </c>
      <c r="E9" s="4" t="s">
        <v>79</v>
      </c>
      <c r="F9" s="4" t="s">
        <v>61</v>
      </c>
      <c r="G9" s="4" t="s">
        <v>83</v>
      </c>
    </row>
    <row r="10" spans="1:26" ht="15.75" customHeight="1" x14ac:dyDescent="0.15">
      <c r="A10" s="4" t="str">
        <f>'Table Assessment'!A10</f>
        <v xml:space="preserve">Jaden </v>
      </c>
      <c r="B10" s="4" t="s">
        <v>79</v>
      </c>
      <c r="C10" s="4" t="s">
        <v>70</v>
      </c>
      <c r="D10" s="4" t="s">
        <v>82</v>
      </c>
      <c r="E10" s="4" t="s">
        <v>65</v>
      </c>
      <c r="F10" s="4" t="s">
        <v>79</v>
      </c>
      <c r="G10" s="4" t="s">
        <v>60</v>
      </c>
    </row>
    <row r="11" spans="1:26" ht="15.75" customHeight="1" x14ac:dyDescent="0.15">
      <c r="A11" s="4" t="str">
        <f>'Table Assessment'!A11</f>
        <v>Kayden</v>
      </c>
      <c r="B11" s="4" t="s">
        <v>84</v>
      </c>
      <c r="C11" s="4" t="s">
        <v>85</v>
      </c>
      <c r="D11" s="4" t="s">
        <v>64</v>
      </c>
      <c r="E11" s="4" t="s">
        <v>86</v>
      </c>
      <c r="F11" s="4" t="s">
        <v>77</v>
      </c>
      <c r="G11" s="4" t="s">
        <v>67</v>
      </c>
    </row>
    <row r="12" spans="1:26" ht="15.75" customHeight="1" x14ac:dyDescent="0.15">
      <c r="A12" s="4" t="str">
        <f>'Table Assessment'!A12</f>
        <v xml:space="preserve">Kaleb </v>
      </c>
      <c r="B12" s="4" t="s">
        <v>65</v>
      </c>
      <c r="C12" s="4" t="s">
        <v>71</v>
      </c>
      <c r="D12" s="4" t="s">
        <v>65</v>
      </c>
      <c r="E12" s="4" t="s">
        <v>64</v>
      </c>
      <c r="F12" s="4" t="s">
        <v>81</v>
      </c>
      <c r="G12" s="4" t="s">
        <v>87</v>
      </c>
    </row>
    <row r="13" spans="1:26" ht="15.75" customHeight="1" x14ac:dyDescent="0.15">
      <c r="A13" s="4" t="str">
        <f>'Table Assessment'!A13</f>
        <v xml:space="preserve">Anthony </v>
      </c>
      <c r="B13" s="4" t="s">
        <v>59</v>
      </c>
      <c r="C13" s="4" t="s">
        <v>74</v>
      </c>
      <c r="D13" s="4" t="s">
        <v>88</v>
      </c>
      <c r="E13" s="4" t="s">
        <v>89</v>
      </c>
      <c r="F13" s="4" t="s">
        <v>90</v>
      </c>
      <c r="G13" s="4" t="s">
        <v>90</v>
      </c>
    </row>
    <row r="14" spans="1:26" ht="15.75" customHeight="1" x14ac:dyDescent="0.15">
      <c r="A14" s="4" t="str">
        <f>'Table Assessment'!A14</f>
        <v xml:space="preserve">Kieran </v>
      </c>
      <c r="B14" s="4" t="s">
        <v>78</v>
      </c>
      <c r="C14" s="4" t="s">
        <v>67</v>
      </c>
      <c r="D14" s="4" t="s">
        <v>83</v>
      </c>
      <c r="E14" s="4" t="s">
        <v>83</v>
      </c>
      <c r="F14" s="4" t="s">
        <v>91</v>
      </c>
      <c r="G14" s="4" t="s">
        <v>72</v>
      </c>
    </row>
    <row r="15" spans="1:26" ht="15.75" customHeight="1" x14ac:dyDescent="0.15">
      <c r="A15" s="4" t="str">
        <f>'Table Assessment'!A15</f>
        <v xml:space="preserve">Zack </v>
      </c>
    </row>
    <row r="16" spans="1:26" ht="15.75" customHeight="1" x14ac:dyDescent="0.15">
      <c r="A16" s="4" t="str">
        <f>'Table Assessment'!A16</f>
        <v xml:space="preserve">Gianluca </v>
      </c>
      <c r="B16" s="4" t="s">
        <v>60</v>
      </c>
      <c r="C16" s="4" t="s">
        <v>58</v>
      </c>
      <c r="D16" s="4" t="s">
        <v>73</v>
      </c>
      <c r="E16" s="4" t="s">
        <v>77</v>
      </c>
      <c r="F16" s="4" t="s">
        <v>77</v>
      </c>
      <c r="G16" s="4" t="s">
        <v>66</v>
      </c>
    </row>
    <row r="17" spans="1:7" ht="15.75" customHeight="1" x14ac:dyDescent="0.15">
      <c r="A17" s="4" t="str">
        <f>'Table Assessment'!A17</f>
        <v xml:space="preserve">Cole </v>
      </c>
    </row>
    <row r="18" spans="1:7" ht="15.75" customHeight="1" x14ac:dyDescent="0.15">
      <c r="A18" s="4" t="str">
        <f>'Table Assessment'!A18</f>
        <v>Reece</v>
      </c>
      <c r="B18" s="4" t="s">
        <v>60</v>
      </c>
      <c r="C18" s="4" t="s">
        <v>70</v>
      </c>
      <c r="D18" s="4" t="s">
        <v>60</v>
      </c>
      <c r="E18" s="4" t="s">
        <v>60</v>
      </c>
      <c r="F18" s="4" t="s">
        <v>62</v>
      </c>
      <c r="G18" s="4" t="s">
        <v>79</v>
      </c>
    </row>
    <row r="19" spans="1:7" ht="15.75" customHeight="1" x14ac:dyDescent="0.15">
      <c r="A19" s="4" t="str">
        <f>'Table Assessment'!A19</f>
        <v xml:space="preserve">Caleb </v>
      </c>
    </row>
    <row r="39" spans="1:1" ht="15.75" customHeight="1" x14ac:dyDescent="0.15">
      <c r="A39" s="4"/>
    </row>
    <row r="40" spans="1:1" ht="15.75" customHeight="1" x14ac:dyDescent="0.15">
      <c r="A40" s="4"/>
    </row>
    <row r="41" spans="1:1" ht="15.75" customHeight="1" x14ac:dyDescent="0.15">
      <c r="A41" s="4"/>
    </row>
    <row r="42" spans="1:1" ht="15.75" customHeight="1" x14ac:dyDescent="0.15">
      <c r="A42" s="4"/>
    </row>
    <row r="43" spans="1:1" ht="15.75" customHeight="1" x14ac:dyDescent="0.15">
      <c r="A43" s="4"/>
    </row>
    <row r="44" spans="1:1" ht="15.75" customHeight="1" x14ac:dyDescent="0.15">
      <c r="A44" s="4"/>
    </row>
    <row r="45" spans="1:1" ht="15.75" customHeight="1" x14ac:dyDescent="0.15">
      <c r="A45" s="4"/>
    </row>
    <row r="46" spans="1:1" ht="15.75" customHeight="1" x14ac:dyDescent="0.15">
      <c r="A46" s="4"/>
    </row>
    <row r="47" spans="1:1" ht="15.75" customHeight="1" x14ac:dyDescent="0.15">
      <c r="A47" s="4"/>
    </row>
    <row r="48" spans="1:1" ht="15.75" customHeight="1" x14ac:dyDescent="0.15">
      <c r="A48" s="4"/>
    </row>
    <row r="49" spans="1:1" ht="15.75" customHeight="1" x14ac:dyDescent="0.15">
      <c r="A49" s="4"/>
    </row>
    <row r="50" spans="1:1" ht="15.75" customHeight="1" x14ac:dyDescent="0.15">
      <c r="A50" s="4"/>
    </row>
    <row r="51" spans="1:1" ht="15.75" customHeight="1" x14ac:dyDescent="0.15">
      <c r="A51" s="4"/>
    </row>
    <row r="52" spans="1:1" ht="15.75" customHeight="1" x14ac:dyDescent="0.15">
      <c r="A52" s="4"/>
    </row>
    <row r="53" spans="1:1" ht="15.75" customHeight="1" x14ac:dyDescent="0.15">
      <c r="A53" s="4"/>
    </row>
    <row r="54" spans="1:1" ht="15.75" customHeight="1" x14ac:dyDescent="0.15">
      <c r="A54" s="4"/>
    </row>
    <row r="55" spans="1:1" ht="13" x14ac:dyDescent="0.15">
      <c r="A55" s="4"/>
    </row>
    <row r="56" spans="1:1" ht="13" x14ac:dyDescent="0.15">
      <c r="A56" s="4"/>
    </row>
    <row r="57" spans="1:1" ht="13" x14ac:dyDescent="0.15">
      <c r="A57" s="4"/>
    </row>
    <row r="58" spans="1:1" ht="13" x14ac:dyDescent="0.15">
      <c r="A58" s="4"/>
    </row>
    <row r="59" spans="1:1" ht="13" x14ac:dyDescent="0.15">
      <c r="A59" s="4"/>
    </row>
    <row r="60" spans="1:1" ht="13" x14ac:dyDescent="0.15">
      <c r="A60" s="4"/>
    </row>
    <row r="61" spans="1:1" ht="13" x14ac:dyDescent="0.15">
      <c r="A61" s="4"/>
    </row>
    <row r="62" spans="1:1" ht="13" x14ac:dyDescent="0.15">
      <c r="A62" s="4"/>
    </row>
    <row r="63" spans="1:1" ht="13" x14ac:dyDescent="0.15">
      <c r="A63" s="4"/>
    </row>
    <row r="64" spans="1:1" ht="13" x14ac:dyDescent="0.15">
      <c r="A64" s="4"/>
    </row>
    <row r="65" spans="1:1" ht="13" x14ac:dyDescent="0.15">
      <c r="A65" s="4"/>
    </row>
    <row r="66" spans="1:1" ht="13" x14ac:dyDescent="0.15">
      <c r="A66" s="4"/>
    </row>
    <row r="67" spans="1:1" ht="13" x14ac:dyDescent="0.15">
      <c r="A67" s="4"/>
    </row>
    <row r="68" spans="1:1" ht="13" x14ac:dyDescent="0.15">
      <c r="A68" s="4"/>
    </row>
    <row r="69" spans="1:1" ht="13" x14ac:dyDescent="0.15">
      <c r="A69" s="4"/>
    </row>
    <row r="70" spans="1:1" ht="13" x14ac:dyDescent="0.15">
      <c r="A70" s="4"/>
    </row>
    <row r="71" spans="1:1" ht="13" x14ac:dyDescent="0.15">
      <c r="A71" s="4"/>
    </row>
    <row r="72" spans="1:1" ht="13" x14ac:dyDescent="0.15">
      <c r="A72" s="4"/>
    </row>
    <row r="73" spans="1:1" ht="13" x14ac:dyDescent="0.15">
      <c r="A73" s="4"/>
    </row>
    <row r="74" spans="1:1" ht="13" x14ac:dyDescent="0.15">
      <c r="A74" s="4"/>
    </row>
    <row r="75" spans="1:1" ht="13" x14ac:dyDescent="0.15">
      <c r="A75" s="4"/>
    </row>
    <row r="76" spans="1:1" ht="13" x14ac:dyDescent="0.15">
      <c r="A76" s="4"/>
    </row>
    <row r="77" spans="1:1" ht="13" x14ac:dyDescent="0.15">
      <c r="A77" s="4"/>
    </row>
    <row r="78" spans="1:1" ht="13" x14ac:dyDescent="0.15">
      <c r="A78" s="4"/>
    </row>
    <row r="79" spans="1:1" ht="13" x14ac:dyDescent="0.15">
      <c r="A79" s="4"/>
    </row>
    <row r="80" spans="1:1" ht="13" x14ac:dyDescent="0.15">
      <c r="A80" s="4"/>
    </row>
    <row r="81" spans="1:1" ht="13" x14ac:dyDescent="0.15">
      <c r="A81" s="4"/>
    </row>
    <row r="82" spans="1:1" ht="13" x14ac:dyDescent="0.15">
      <c r="A82" s="4"/>
    </row>
    <row r="83" spans="1:1" ht="13" x14ac:dyDescent="0.15">
      <c r="A83" s="4"/>
    </row>
    <row r="84" spans="1:1" ht="13" x14ac:dyDescent="0.15">
      <c r="A84" s="4"/>
    </row>
    <row r="85" spans="1:1" ht="13" x14ac:dyDescent="0.15">
      <c r="A85" s="4"/>
    </row>
    <row r="86" spans="1:1" ht="13" x14ac:dyDescent="0.15">
      <c r="A86" s="4"/>
    </row>
    <row r="87" spans="1:1" ht="13" x14ac:dyDescent="0.15">
      <c r="A87" s="4"/>
    </row>
    <row r="88" spans="1:1" ht="13" x14ac:dyDescent="0.15">
      <c r="A88" s="4"/>
    </row>
    <row r="89" spans="1:1" ht="13" x14ac:dyDescent="0.15">
      <c r="A89" s="4"/>
    </row>
    <row r="90" spans="1:1" ht="13" x14ac:dyDescent="0.15">
      <c r="A90" s="4"/>
    </row>
    <row r="91" spans="1:1" ht="13" x14ac:dyDescent="0.15">
      <c r="A91" s="4"/>
    </row>
    <row r="92" spans="1:1" ht="13" x14ac:dyDescent="0.15">
      <c r="A92" s="4"/>
    </row>
    <row r="93" spans="1:1" ht="13" x14ac:dyDescent="0.15">
      <c r="A93" s="4"/>
    </row>
    <row r="94" spans="1:1" ht="13" x14ac:dyDescent="0.15">
      <c r="A94" s="4"/>
    </row>
    <row r="95" spans="1:1" ht="13" x14ac:dyDescent="0.15">
      <c r="A95" s="4"/>
    </row>
    <row r="96" spans="1:1" ht="13" x14ac:dyDescent="0.15">
      <c r="A96" s="4"/>
    </row>
    <row r="97" spans="1:1" ht="13" x14ac:dyDescent="0.15">
      <c r="A97" s="4"/>
    </row>
    <row r="98" spans="1:1" ht="13" x14ac:dyDescent="0.15">
      <c r="A98" s="4"/>
    </row>
    <row r="99" spans="1:1" ht="13" x14ac:dyDescent="0.15">
      <c r="A99" s="4"/>
    </row>
    <row r="100" spans="1:1" ht="13" x14ac:dyDescent="0.15">
      <c r="A100" s="4"/>
    </row>
    <row r="101" spans="1:1" ht="13" x14ac:dyDescent="0.15">
      <c r="A101" s="4"/>
    </row>
    <row r="102" spans="1:1" ht="13" x14ac:dyDescent="0.15">
      <c r="A102" s="4"/>
    </row>
    <row r="103" spans="1:1" ht="13" x14ac:dyDescent="0.15">
      <c r="A103" s="4"/>
    </row>
    <row r="104" spans="1:1" ht="13" x14ac:dyDescent="0.15">
      <c r="A104" s="4"/>
    </row>
    <row r="105" spans="1:1" ht="13" x14ac:dyDescent="0.15">
      <c r="A105" s="4"/>
    </row>
    <row r="106" spans="1:1" ht="13" x14ac:dyDescent="0.15">
      <c r="A106" s="4"/>
    </row>
    <row r="107" spans="1:1" ht="13" x14ac:dyDescent="0.15">
      <c r="A107" s="4"/>
    </row>
    <row r="108" spans="1:1" ht="13" x14ac:dyDescent="0.15">
      <c r="A108" s="4"/>
    </row>
    <row r="109" spans="1:1" ht="13" x14ac:dyDescent="0.15">
      <c r="A109" s="4"/>
    </row>
    <row r="110" spans="1:1" ht="13" x14ac:dyDescent="0.15">
      <c r="A110" s="4"/>
    </row>
    <row r="111" spans="1:1" ht="13" x14ac:dyDescent="0.15">
      <c r="A111" s="4"/>
    </row>
    <row r="112" spans="1:1" ht="13" x14ac:dyDescent="0.15">
      <c r="A112" s="4"/>
    </row>
    <row r="113" spans="1:1" ht="13" x14ac:dyDescent="0.15">
      <c r="A113" s="4"/>
    </row>
    <row r="114" spans="1:1" ht="13" x14ac:dyDescent="0.15">
      <c r="A114" s="4"/>
    </row>
    <row r="115" spans="1:1" ht="13" x14ac:dyDescent="0.15">
      <c r="A115" s="4"/>
    </row>
    <row r="116" spans="1:1" ht="13" x14ac:dyDescent="0.15">
      <c r="A116" s="4"/>
    </row>
    <row r="117" spans="1:1" ht="13" x14ac:dyDescent="0.15">
      <c r="A117" s="4"/>
    </row>
    <row r="118" spans="1:1" ht="13" x14ac:dyDescent="0.15">
      <c r="A118" s="4"/>
    </row>
    <row r="119" spans="1:1" ht="13" x14ac:dyDescent="0.15">
      <c r="A119" s="4"/>
    </row>
    <row r="120" spans="1:1" ht="13" x14ac:dyDescent="0.15">
      <c r="A120" s="4"/>
    </row>
    <row r="121" spans="1:1" ht="13" x14ac:dyDescent="0.15">
      <c r="A121" s="4"/>
    </row>
    <row r="122" spans="1:1" ht="13" x14ac:dyDescent="0.15">
      <c r="A122" s="4"/>
    </row>
    <row r="123" spans="1:1" ht="13" x14ac:dyDescent="0.15">
      <c r="A123" s="4"/>
    </row>
    <row r="124" spans="1:1" ht="13" x14ac:dyDescent="0.15">
      <c r="A124" s="4"/>
    </row>
    <row r="125" spans="1:1" ht="13" x14ac:dyDescent="0.15">
      <c r="A125" s="4"/>
    </row>
    <row r="126" spans="1:1" ht="13" x14ac:dyDescent="0.15">
      <c r="A126" s="4"/>
    </row>
    <row r="127" spans="1:1" ht="13" x14ac:dyDescent="0.15">
      <c r="A12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1" sqref="E31"/>
    </sheetView>
  </sheetViews>
  <sheetFormatPr baseColWidth="10" defaultColWidth="12.6640625" defaultRowHeight="15.75" customHeight="1" x14ac:dyDescent="0.15"/>
  <cols>
    <col min="1" max="1" width="15.1640625" customWidth="1"/>
    <col min="2" max="2" width="7.1640625" customWidth="1"/>
    <col min="3" max="3" width="6.83203125" customWidth="1"/>
    <col min="4" max="4" width="8" customWidth="1"/>
    <col min="7" max="7" width="13.6640625" customWidth="1"/>
    <col min="9" max="9" width="16.1640625" customWidth="1"/>
    <col min="10" max="10" width="16.83203125" customWidth="1"/>
    <col min="11" max="11" width="21.6640625" customWidth="1"/>
    <col min="12" max="12" width="23" customWidth="1"/>
    <col min="13" max="13" width="17.1640625" customWidth="1"/>
  </cols>
  <sheetData>
    <row r="1" spans="1:26" ht="15.75" customHeight="1" x14ac:dyDescent="0.15">
      <c r="A1" s="4"/>
      <c r="B1" s="14" t="s">
        <v>92</v>
      </c>
      <c r="C1" s="15"/>
      <c r="D1" s="15"/>
      <c r="E1" s="15"/>
      <c r="F1" s="15"/>
      <c r="G1" s="15"/>
      <c r="H1" s="16" t="s">
        <v>93</v>
      </c>
      <c r="I1" s="15"/>
      <c r="J1" s="15"/>
      <c r="K1" s="6" t="s">
        <v>94</v>
      </c>
      <c r="L1" s="6" t="s">
        <v>95</v>
      </c>
      <c r="M1" s="6" t="s">
        <v>95</v>
      </c>
      <c r="N1" s="6" t="s">
        <v>95</v>
      </c>
    </row>
    <row r="2" spans="1:26" ht="15.75" customHeight="1" x14ac:dyDescent="0.15">
      <c r="A2" s="7" t="s">
        <v>96</v>
      </c>
      <c r="B2" s="7" t="s">
        <v>97</v>
      </c>
      <c r="C2" s="7" t="s">
        <v>98</v>
      </c>
      <c r="D2" s="7" t="s">
        <v>99</v>
      </c>
      <c r="E2" s="7" t="s">
        <v>100</v>
      </c>
      <c r="F2" s="7" t="s">
        <v>101</v>
      </c>
      <c r="G2" s="7" t="s">
        <v>102</v>
      </c>
      <c r="H2" s="8" t="s">
        <v>103</v>
      </c>
      <c r="I2" s="8" t="s">
        <v>104</v>
      </c>
      <c r="J2" s="8" t="s">
        <v>105</v>
      </c>
      <c r="K2" s="9" t="s">
        <v>106</v>
      </c>
      <c r="L2" s="9" t="s">
        <v>107</v>
      </c>
      <c r="M2" s="9" t="s">
        <v>108</v>
      </c>
      <c r="N2" s="9" t="s">
        <v>109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15">
      <c r="A3" s="4" t="e">
        <f>'Table Assessment'!#REF!</f>
        <v>#REF!</v>
      </c>
      <c r="B3" s="4" t="b">
        <v>0</v>
      </c>
      <c r="C3" s="4" t="b">
        <v>0</v>
      </c>
      <c r="D3" s="4" t="b">
        <v>0</v>
      </c>
      <c r="E3" s="4" t="b">
        <v>0</v>
      </c>
      <c r="F3" s="4" t="b">
        <v>0</v>
      </c>
      <c r="G3" s="4" t="b">
        <v>0</v>
      </c>
      <c r="H3" s="4" t="b">
        <v>0</v>
      </c>
      <c r="I3" s="4" t="b">
        <v>0</v>
      </c>
      <c r="J3" s="4" t="b">
        <v>0</v>
      </c>
      <c r="K3" s="4" t="b">
        <v>0</v>
      </c>
      <c r="L3" s="4" t="b">
        <v>0</v>
      </c>
      <c r="M3" s="4" t="b">
        <v>0</v>
      </c>
      <c r="N3" s="4" t="b">
        <v>0</v>
      </c>
    </row>
    <row r="4" spans="1:26" ht="15.75" customHeight="1" x14ac:dyDescent="0.15">
      <c r="A4" s="4" t="str">
        <f>'Table Assessment'!A2</f>
        <v xml:space="preserve">Nick </v>
      </c>
      <c r="B4" s="4" t="b">
        <v>1</v>
      </c>
      <c r="C4" s="4" t="b">
        <v>1</v>
      </c>
      <c r="D4" s="4" t="b">
        <v>1</v>
      </c>
      <c r="E4" s="4" t="b">
        <v>1</v>
      </c>
      <c r="F4" s="4" t="b">
        <v>1</v>
      </c>
      <c r="G4" s="4" t="b">
        <v>1</v>
      </c>
      <c r="H4" s="4" t="b">
        <v>1</v>
      </c>
      <c r="I4" s="4" t="b">
        <v>1</v>
      </c>
      <c r="J4" s="4" t="b">
        <v>1</v>
      </c>
      <c r="K4" s="4" t="b">
        <v>1</v>
      </c>
      <c r="L4" s="4" t="b">
        <v>1</v>
      </c>
      <c r="M4" s="4" t="b">
        <v>1</v>
      </c>
      <c r="N4" s="4" t="b">
        <v>1</v>
      </c>
    </row>
    <row r="5" spans="1:26" ht="15.75" customHeight="1" x14ac:dyDescent="0.15">
      <c r="A5" s="4" t="str">
        <f>'Table Assessment'!A3</f>
        <v xml:space="preserve">Xavier </v>
      </c>
      <c r="B5" s="4" t="b">
        <v>1</v>
      </c>
      <c r="C5" s="4" t="b">
        <v>1</v>
      </c>
      <c r="D5" s="4" t="b">
        <v>1</v>
      </c>
      <c r="E5" s="4" t="b">
        <v>1</v>
      </c>
      <c r="F5" s="4" t="b">
        <v>1</v>
      </c>
      <c r="G5" s="4" t="b">
        <v>1</v>
      </c>
      <c r="H5" s="4" t="b">
        <v>1</v>
      </c>
      <c r="I5" s="4" t="b">
        <v>1</v>
      </c>
      <c r="J5" s="4" t="b">
        <v>1</v>
      </c>
      <c r="K5" s="4" t="b">
        <v>1</v>
      </c>
      <c r="L5" s="4" t="b">
        <v>1</v>
      </c>
      <c r="M5" s="4" t="b">
        <v>1</v>
      </c>
      <c r="N5" s="4" t="b">
        <v>1</v>
      </c>
    </row>
    <row r="6" spans="1:26" ht="15.75" customHeight="1" x14ac:dyDescent="0.15">
      <c r="A6" s="4" t="str">
        <f>'Table Assessment'!A4</f>
        <v xml:space="preserve">John </v>
      </c>
      <c r="B6" s="4" t="b">
        <v>1</v>
      </c>
      <c r="C6" s="4" t="b">
        <v>1</v>
      </c>
      <c r="D6" s="4" t="b">
        <v>1</v>
      </c>
      <c r="E6" s="4" t="b">
        <v>1</v>
      </c>
      <c r="F6" s="4" t="b">
        <v>1</v>
      </c>
      <c r="G6" s="4" t="b">
        <v>1</v>
      </c>
      <c r="H6" s="4" t="b">
        <v>1</v>
      </c>
      <c r="I6" s="4" t="b">
        <v>1</v>
      </c>
      <c r="J6" s="4" t="b">
        <v>1</v>
      </c>
      <c r="K6" s="4" t="b">
        <v>1</v>
      </c>
      <c r="L6" s="4" t="b">
        <v>1</v>
      </c>
      <c r="M6" s="4" t="b">
        <v>1</v>
      </c>
      <c r="N6" s="4" t="b">
        <v>1</v>
      </c>
    </row>
    <row r="7" spans="1:26" ht="15.75" customHeight="1" x14ac:dyDescent="0.15">
      <c r="A7" s="4" t="str">
        <f>'Table Assessment'!A5</f>
        <v xml:space="preserve">Joe </v>
      </c>
      <c r="B7" s="4" t="b">
        <v>1</v>
      </c>
      <c r="C7" s="4" t="b">
        <v>1</v>
      </c>
      <c r="D7" s="4" t="b">
        <v>1</v>
      </c>
      <c r="E7" s="4" t="b">
        <v>1</v>
      </c>
      <c r="F7" s="4" t="b">
        <v>1</v>
      </c>
      <c r="G7" s="4" t="b">
        <v>1</v>
      </c>
      <c r="H7" s="4" t="b">
        <v>1</v>
      </c>
      <c r="I7" s="4" t="b">
        <v>1</v>
      </c>
      <c r="J7" s="4" t="b">
        <v>1</v>
      </c>
      <c r="K7" s="4" t="b">
        <v>1</v>
      </c>
      <c r="L7" s="4" t="b">
        <v>1</v>
      </c>
      <c r="M7" s="4" t="b">
        <v>1</v>
      </c>
      <c r="N7" s="4" t="b">
        <v>1</v>
      </c>
    </row>
    <row r="8" spans="1:26" ht="15.75" customHeight="1" x14ac:dyDescent="0.15">
      <c r="A8" s="4" t="str">
        <f>'Table Assessment'!A6</f>
        <v xml:space="preserve">Liam </v>
      </c>
      <c r="B8" s="4" t="b">
        <v>1</v>
      </c>
      <c r="C8" s="4" t="b">
        <v>1</v>
      </c>
      <c r="D8" s="4" t="b">
        <v>1</v>
      </c>
      <c r="E8" s="4" t="b">
        <v>1</v>
      </c>
      <c r="F8" s="4" t="b">
        <v>1</v>
      </c>
      <c r="G8" s="4" t="b">
        <v>1</v>
      </c>
      <c r="H8" s="4" t="b">
        <v>1</v>
      </c>
      <c r="I8" s="4" t="b">
        <v>1</v>
      </c>
      <c r="J8" s="4" t="b">
        <v>1</v>
      </c>
      <c r="K8" s="4" t="b">
        <v>1</v>
      </c>
      <c r="L8" s="4" t="b">
        <v>1</v>
      </c>
      <c r="M8" s="4" t="b">
        <v>1</v>
      </c>
      <c r="N8" s="4" t="b">
        <v>1</v>
      </c>
    </row>
    <row r="9" spans="1:26" ht="15.75" customHeight="1" x14ac:dyDescent="0.15">
      <c r="A9" s="4" t="str">
        <f>'Table Assessment'!A7</f>
        <v xml:space="preserve">Rafael </v>
      </c>
      <c r="B9" s="4" t="b">
        <v>1</v>
      </c>
      <c r="C9" s="4" t="b">
        <v>1</v>
      </c>
      <c r="D9" s="4" t="b">
        <v>1</v>
      </c>
      <c r="E9" s="4" t="b">
        <v>1</v>
      </c>
      <c r="F9" s="4" t="b">
        <v>1</v>
      </c>
      <c r="G9" s="4" t="b">
        <v>1</v>
      </c>
      <c r="H9" s="4" t="b">
        <v>1</v>
      </c>
      <c r="I9" s="4" t="b">
        <v>1</v>
      </c>
      <c r="J9" s="4" t="b">
        <v>1</v>
      </c>
      <c r="K9" s="4" t="b">
        <v>1</v>
      </c>
      <c r="L9" s="4" t="b">
        <v>1</v>
      </c>
      <c r="M9" s="4" t="b">
        <v>1</v>
      </c>
      <c r="N9" s="4" t="b">
        <v>1</v>
      </c>
    </row>
    <row r="10" spans="1:26" ht="15.75" customHeight="1" x14ac:dyDescent="0.15">
      <c r="A10" s="4" t="str">
        <f>'Table Assessment'!A8</f>
        <v>Jaxsyn</v>
      </c>
      <c r="B10" s="4" t="b">
        <v>1</v>
      </c>
      <c r="C10" s="4" t="b">
        <v>1</v>
      </c>
      <c r="D10" s="4" t="b">
        <v>1</v>
      </c>
      <c r="E10" s="4" t="b">
        <v>1</v>
      </c>
      <c r="F10" s="4" t="b">
        <v>1</v>
      </c>
      <c r="G10" s="4" t="b">
        <v>1</v>
      </c>
      <c r="H10" s="4" t="b">
        <v>1</v>
      </c>
      <c r="I10" s="4" t="b">
        <v>1</v>
      </c>
      <c r="J10" s="4" t="b">
        <v>1</v>
      </c>
      <c r="K10" s="4" t="b">
        <v>1</v>
      </c>
      <c r="L10" s="4" t="b">
        <v>1</v>
      </c>
      <c r="M10" s="4" t="b">
        <v>1</v>
      </c>
      <c r="N10" s="4" t="b">
        <v>1</v>
      </c>
    </row>
    <row r="11" spans="1:26" ht="15.75" customHeight="1" x14ac:dyDescent="0.15">
      <c r="A11" s="4" t="str">
        <f>'Table Assessment'!A9</f>
        <v xml:space="preserve">Justin </v>
      </c>
      <c r="B11" s="4" t="b">
        <v>1</v>
      </c>
      <c r="C11" s="4" t="b">
        <v>1</v>
      </c>
      <c r="D11" s="4" t="b">
        <v>1</v>
      </c>
      <c r="E11" s="4" t="b">
        <v>1</v>
      </c>
      <c r="F11" s="4" t="b">
        <v>1</v>
      </c>
      <c r="G11" s="4" t="b">
        <v>1</v>
      </c>
      <c r="H11" s="4" t="b">
        <v>1</v>
      </c>
      <c r="I11" s="4" t="b">
        <v>1</v>
      </c>
      <c r="J11" s="4" t="b">
        <v>1</v>
      </c>
      <c r="K11" s="4" t="b">
        <v>1</v>
      </c>
      <c r="L11" s="4" t="b">
        <v>1</v>
      </c>
      <c r="M11" s="4" t="b">
        <v>1</v>
      </c>
      <c r="N11" s="4" t="b">
        <v>1</v>
      </c>
    </row>
    <row r="12" spans="1:26" ht="15.75" customHeight="1" x14ac:dyDescent="0.15">
      <c r="A12" s="4" t="e">
        <f>'Table Assessment'!#REF!</f>
        <v>#REF!</v>
      </c>
      <c r="B12" s="4" t="b">
        <v>0</v>
      </c>
      <c r="C12" s="4" t="b">
        <v>0</v>
      </c>
      <c r="D12" s="4" t="b">
        <v>0</v>
      </c>
      <c r="E12" s="4" t="b">
        <v>0</v>
      </c>
      <c r="F12" s="4" t="b">
        <v>0</v>
      </c>
      <c r="G12" s="4" t="b">
        <v>0</v>
      </c>
      <c r="H12" s="4" t="b">
        <v>0</v>
      </c>
      <c r="I12" s="4" t="b">
        <v>0</v>
      </c>
      <c r="J12" s="4" t="b">
        <v>0</v>
      </c>
      <c r="K12" s="4" t="b">
        <v>0</v>
      </c>
      <c r="L12" s="4" t="b">
        <v>0</v>
      </c>
      <c r="M12" s="4" t="b">
        <v>0</v>
      </c>
      <c r="N12" s="4" t="b">
        <v>0</v>
      </c>
    </row>
    <row r="13" spans="1:26" ht="15.75" customHeight="1" x14ac:dyDescent="0.15">
      <c r="A13" s="4" t="str">
        <f>'Table Assessment'!A10</f>
        <v xml:space="preserve">Jaden </v>
      </c>
      <c r="B13" s="4" t="b">
        <v>1</v>
      </c>
      <c r="C13" s="4" t="b">
        <v>1</v>
      </c>
      <c r="D13" s="4" t="b">
        <v>1</v>
      </c>
      <c r="E13" s="4" t="b">
        <v>1</v>
      </c>
      <c r="F13" s="4" t="b">
        <v>1</v>
      </c>
      <c r="G13" s="4" t="b">
        <v>1</v>
      </c>
      <c r="H13" s="4" t="b">
        <v>1</v>
      </c>
      <c r="I13" s="4" t="b">
        <v>1</v>
      </c>
      <c r="J13" s="4" t="b">
        <v>1</v>
      </c>
      <c r="K13" s="4" t="b">
        <v>1</v>
      </c>
      <c r="L13" s="4" t="b">
        <v>1</v>
      </c>
      <c r="M13" s="4" t="b">
        <v>1</v>
      </c>
      <c r="N13" s="4" t="b">
        <v>1</v>
      </c>
    </row>
    <row r="14" spans="1:26" ht="15.75" customHeight="1" x14ac:dyDescent="0.15">
      <c r="A14" s="4" t="str">
        <f>'Table Assessment'!A11</f>
        <v>Kayden</v>
      </c>
      <c r="B14" s="4" t="b">
        <v>1</v>
      </c>
      <c r="C14" s="4" t="b">
        <v>1</v>
      </c>
      <c r="D14" s="4" t="b">
        <v>1</v>
      </c>
      <c r="E14" s="4" t="b">
        <v>1</v>
      </c>
      <c r="F14" s="4" t="b">
        <v>1</v>
      </c>
      <c r="G14" s="4" t="b">
        <v>1</v>
      </c>
      <c r="H14" s="4" t="b">
        <v>1</v>
      </c>
      <c r="I14" s="4" t="b">
        <v>1</v>
      </c>
      <c r="J14" s="4" t="b">
        <v>1</v>
      </c>
      <c r="K14" s="4" t="b">
        <v>1</v>
      </c>
      <c r="L14" s="4" t="b">
        <v>1</v>
      </c>
      <c r="M14" s="4" t="b">
        <v>1</v>
      </c>
      <c r="N14" s="4" t="b">
        <v>1</v>
      </c>
    </row>
    <row r="15" spans="1:26" ht="15.75" customHeight="1" x14ac:dyDescent="0.15">
      <c r="A15" s="4" t="str">
        <f>'Table Assessment'!A12</f>
        <v xml:space="preserve">Kaleb </v>
      </c>
      <c r="B15" s="4" t="b">
        <v>1</v>
      </c>
      <c r="C15" s="4" t="b">
        <v>1</v>
      </c>
      <c r="D15" s="4" t="b">
        <v>1</v>
      </c>
      <c r="E15" s="4" t="b">
        <v>1</v>
      </c>
      <c r="F15" s="4" t="b">
        <v>1</v>
      </c>
      <c r="G15" s="4" t="b">
        <v>1</v>
      </c>
      <c r="H15" s="4" t="b">
        <v>1</v>
      </c>
      <c r="I15" s="4" t="b">
        <v>1</v>
      </c>
      <c r="J15" s="4" t="b">
        <v>1</v>
      </c>
      <c r="K15" s="4" t="b">
        <v>1</v>
      </c>
      <c r="L15" s="4" t="b">
        <v>1</v>
      </c>
      <c r="M15" s="4" t="b">
        <v>1</v>
      </c>
      <c r="N15" s="4" t="b">
        <v>1</v>
      </c>
    </row>
    <row r="16" spans="1:26" ht="15.75" customHeight="1" x14ac:dyDescent="0.15">
      <c r="A16" s="4" t="str">
        <f>'Table Assessment'!A13</f>
        <v xml:space="preserve">Anthony </v>
      </c>
      <c r="B16" s="4" t="b">
        <v>1</v>
      </c>
      <c r="C16" s="4" t="b">
        <v>1</v>
      </c>
      <c r="D16" s="4" t="b">
        <v>1</v>
      </c>
      <c r="E16" s="4" t="b">
        <v>1</v>
      </c>
      <c r="F16" s="4" t="b">
        <v>1</v>
      </c>
      <c r="G16" s="4" t="b">
        <v>1</v>
      </c>
      <c r="H16" s="4" t="b">
        <v>1</v>
      </c>
      <c r="I16" s="4" t="b">
        <v>1</v>
      </c>
      <c r="J16" s="4" t="b">
        <v>1</v>
      </c>
      <c r="K16" s="4" t="b">
        <v>1</v>
      </c>
      <c r="L16" s="4" t="b">
        <v>1</v>
      </c>
      <c r="M16" s="4" t="b">
        <v>1</v>
      </c>
      <c r="N16" s="4" t="b">
        <v>1</v>
      </c>
    </row>
    <row r="17" spans="1:14" ht="15.75" customHeight="1" x14ac:dyDescent="0.15">
      <c r="A17" s="4" t="str">
        <f>'Table Assessment'!A14</f>
        <v xml:space="preserve">Kieran </v>
      </c>
      <c r="B17" s="4" t="b">
        <v>1</v>
      </c>
      <c r="C17" s="4" t="b">
        <v>1</v>
      </c>
      <c r="D17" s="4" t="b">
        <v>1</v>
      </c>
      <c r="E17" s="4" t="b">
        <v>1</v>
      </c>
      <c r="F17" s="4" t="b">
        <v>1</v>
      </c>
      <c r="G17" s="4" t="b">
        <v>1</v>
      </c>
      <c r="H17" s="4" t="b">
        <v>1</v>
      </c>
      <c r="I17" s="4" t="b">
        <v>1</v>
      </c>
      <c r="J17" s="4" t="b">
        <v>1</v>
      </c>
      <c r="K17" s="4" t="b">
        <v>1</v>
      </c>
      <c r="L17" s="4" t="b">
        <v>1</v>
      </c>
      <c r="M17" s="4" t="b">
        <v>1</v>
      </c>
      <c r="N17" s="4" t="b">
        <v>1</v>
      </c>
    </row>
    <row r="18" spans="1:14" ht="15.75" customHeight="1" x14ac:dyDescent="0.15">
      <c r="A18" s="4" t="str">
        <f>'Table Assessment'!A15</f>
        <v xml:space="preserve">Zack </v>
      </c>
      <c r="B18" s="4" t="b">
        <v>0</v>
      </c>
      <c r="C18" s="4" t="b">
        <v>0</v>
      </c>
      <c r="D18" s="4" t="b">
        <v>0</v>
      </c>
      <c r="E18" s="4" t="b">
        <v>0</v>
      </c>
      <c r="F18" s="4" t="b">
        <v>0</v>
      </c>
      <c r="G18" s="4" t="b">
        <v>0</v>
      </c>
      <c r="H18" s="4" t="b">
        <v>0</v>
      </c>
      <c r="I18" s="4" t="b">
        <v>0</v>
      </c>
      <c r="J18" s="4" t="b">
        <v>0</v>
      </c>
      <c r="K18" s="4" t="b">
        <v>0</v>
      </c>
      <c r="L18" s="4" t="b">
        <v>0</v>
      </c>
      <c r="M18" s="4" t="b">
        <v>0</v>
      </c>
      <c r="N18" s="4" t="b">
        <v>0</v>
      </c>
    </row>
    <row r="19" spans="1:14" ht="15.75" customHeight="1" x14ac:dyDescent="0.15">
      <c r="A19" s="4" t="str">
        <f>'Table Assessment'!A16</f>
        <v xml:space="preserve">Gianluca </v>
      </c>
      <c r="B19" s="4" t="b">
        <v>1</v>
      </c>
      <c r="C19" s="4" t="b">
        <v>1</v>
      </c>
      <c r="D19" s="4" t="b">
        <v>1</v>
      </c>
      <c r="E19" s="4" t="b">
        <v>1</v>
      </c>
      <c r="F19" s="4" t="b">
        <v>1</v>
      </c>
      <c r="G19" s="4" t="b">
        <v>1</v>
      </c>
      <c r="H19" s="4" t="b">
        <v>1</v>
      </c>
      <c r="I19" s="4" t="b">
        <v>1</v>
      </c>
      <c r="J19" s="4" t="b">
        <v>1</v>
      </c>
      <c r="K19" s="4" t="b">
        <v>1</v>
      </c>
      <c r="L19" s="4" t="b">
        <v>1</v>
      </c>
      <c r="M19" s="4" t="b">
        <v>1</v>
      </c>
      <c r="N19" s="4" t="b">
        <v>1</v>
      </c>
    </row>
    <row r="20" spans="1:14" ht="15.75" customHeight="1" x14ac:dyDescent="0.15">
      <c r="A20" s="4" t="str">
        <f>'Table Assessment'!A17</f>
        <v xml:space="preserve">Cole </v>
      </c>
      <c r="B20" s="4" t="b">
        <v>0</v>
      </c>
      <c r="C20" s="4" t="b">
        <v>0</v>
      </c>
      <c r="D20" s="4" t="b">
        <v>0</v>
      </c>
      <c r="E20" s="4" t="b">
        <v>0</v>
      </c>
      <c r="F20" s="4" t="b">
        <v>0</v>
      </c>
      <c r="G20" s="4" t="b">
        <v>0</v>
      </c>
      <c r="H20" s="4" t="b">
        <v>0</v>
      </c>
      <c r="I20" s="4" t="b">
        <v>0</v>
      </c>
      <c r="J20" s="4" t="b">
        <v>0</v>
      </c>
      <c r="K20" s="4" t="b">
        <v>0</v>
      </c>
      <c r="L20" s="4" t="b">
        <v>0</v>
      </c>
      <c r="M20" s="4" t="b">
        <v>0</v>
      </c>
      <c r="N20" s="4" t="b">
        <v>0</v>
      </c>
    </row>
    <row r="21" spans="1:14" ht="15.75" customHeight="1" x14ac:dyDescent="0.15">
      <c r="A21" s="4" t="str">
        <f>'Table Assessment'!A18</f>
        <v>Reece</v>
      </c>
      <c r="B21" s="4" t="b">
        <v>1</v>
      </c>
      <c r="C21" s="4" t="b">
        <v>1</v>
      </c>
      <c r="D21" s="4" t="b">
        <v>1</v>
      </c>
      <c r="E21" s="4" t="b">
        <v>1</v>
      </c>
      <c r="F21" s="4" t="b">
        <v>1</v>
      </c>
      <c r="G21" s="4" t="b">
        <v>1</v>
      </c>
      <c r="H21" s="4" t="b">
        <v>0</v>
      </c>
      <c r="I21" s="4" t="b">
        <v>0</v>
      </c>
      <c r="J21" s="4" t="b">
        <v>0</v>
      </c>
      <c r="K21" s="4" t="b">
        <v>0</v>
      </c>
      <c r="L21" s="4" t="b">
        <v>0</v>
      </c>
      <c r="M21" s="4" t="b">
        <v>0</v>
      </c>
      <c r="N21" s="4" t="b">
        <v>0</v>
      </c>
    </row>
    <row r="22" spans="1:14" ht="15.75" customHeight="1" x14ac:dyDescent="0.15">
      <c r="A22" s="4" t="str">
        <f>'Table Assessment'!A19</f>
        <v xml:space="preserve">Caleb </v>
      </c>
      <c r="B22" s="4" t="b">
        <v>0</v>
      </c>
      <c r="C22" s="4" t="b">
        <v>0</v>
      </c>
      <c r="D22" s="4" t="b">
        <v>0</v>
      </c>
      <c r="E22" s="4" t="b">
        <v>0</v>
      </c>
      <c r="F22" s="4" t="b">
        <v>0</v>
      </c>
      <c r="G22" s="4" t="b">
        <v>0</v>
      </c>
      <c r="H22" s="4" t="b">
        <v>0</v>
      </c>
      <c r="I22" s="4" t="b">
        <v>0</v>
      </c>
      <c r="J22" s="4" t="b">
        <v>0</v>
      </c>
      <c r="K22" s="4" t="b">
        <v>0</v>
      </c>
      <c r="L22" s="4" t="b">
        <v>0</v>
      </c>
      <c r="M22" s="4" t="b">
        <v>0</v>
      </c>
      <c r="N22" s="4" t="b">
        <v>0</v>
      </c>
    </row>
    <row r="27" spans="1:14" ht="15.75" customHeight="1" x14ac:dyDescent="0.15">
      <c r="K27" s="10"/>
      <c r="L27" s="10"/>
      <c r="M27" s="10"/>
      <c r="N27" s="10"/>
    </row>
    <row r="28" spans="1:14" ht="15.75" customHeight="1" x14ac:dyDescent="0.15">
      <c r="K28" s="10"/>
      <c r="L28" s="10"/>
      <c r="M28" s="10"/>
      <c r="N28" s="10"/>
    </row>
    <row r="29" spans="1:14" ht="15.75" customHeight="1" x14ac:dyDescent="0.15">
      <c r="K29" s="10"/>
      <c r="L29" s="10"/>
      <c r="M29" s="10"/>
      <c r="N29" s="10"/>
    </row>
    <row r="30" spans="1:14" ht="15.75" customHeight="1" x14ac:dyDescent="0.15">
      <c r="K30" s="10"/>
      <c r="L30" s="10"/>
      <c r="M30" s="10"/>
      <c r="N30" s="10"/>
    </row>
    <row r="31" spans="1:14" ht="15.75" customHeight="1" x14ac:dyDescent="0.15">
      <c r="K31" s="10"/>
      <c r="L31" s="10"/>
      <c r="M31" s="10"/>
      <c r="N31" s="10"/>
    </row>
    <row r="32" spans="1:14" ht="15.75" customHeight="1" x14ac:dyDescent="0.15">
      <c r="K32" s="10"/>
      <c r="L32" s="10"/>
      <c r="M32" s="10"/>
      <c r="N32" s="10"/>
    </row>
    <row r="33" spans="1:14" ht="15.75" customHeight="1" x14ac:dyDescent="0.15">
      <c r="K33" s="10"/>
      <c r="L33" s="10"/>
      <c r="M33" s="10"/>
      <c r="N33" s="10"/>
    </row>
    <row r="34" spans="1:14" ht="15.75" customHeight="1" x14ac:dyDescent="0.15">
      <c r="K34" s="10"/>
      <c r="L34" s="10"/>
      <c r="M34" s="10"/>
      <c r="N34" s="10"/>
    </row>
    <row r="35" spans="1:14" ht="15.75" customHeight="1" x14ac:dyDescent="0.15">
      <c r="K35" s="10"/>
      <c r="L35" s="10"/>
      <c r="M35" s="10"/>
      <c r="N35" s="10"/>
    </row>
    <row r="36" spans="1:14" ht="15.75" customHeight="1" x14ac:dyDescent="0.15">
      <c r="K36" s="10"/>
      <c r="L36" s="10"/>
      <c r="M36" s="10"/>
      <c r="N36" s="10"/>
    </row>
    <row r="37" spans="1:14" ht="15.75" customHeight="1" x14ac:dyDescent="0.15">
      <c r="K37" s="10"/>
      <c r="L37" s="10"/>
      <c r="M37" s="10"/>
      <c r="N37" s="10"/>
    </row>
    <row r="38" spans="1:14" ht="15.75" customHeight="1" x14ac:dyDescent="0.15">
      <c r="K38" s="10"/>
      <c r="L38" s="10"/>
      <c r="M38" s="10"/>
      <c r="N38" s="10"/>
    </row>
    <row r="39" spans="1:14" ht="15.75" customHeight="1" x14ac:dyDescent="0.15">
      <c r="K39" s="10"/>
      <c r="L39" s="10"/>
      <c r="M39" s="10"/>
      <c r="N39" s="10"/>
    </row>
    <row r="40" spans="1:14" ht="15.75" customHeight="1" x14ac:dyDescent="0.15">
      <c r="K40" s="10"/>
      <c r="L40" s="10"/>
      <c r="M40" s="10"/>
      <c r="N40" s="10"/>
    </row>
    <row r="41" spans="1:14" ht="15.75" customHeight="1" x14ac:dyDescent="0.15">
      <c r="K41" s="10"/>
      <c r="L41" s="10"/>
      <c r="M41" s="10"/>
      <c r="N41" s="10"/>
    </row>
    <row r="42" spans="1:14" ht="15.75" customHeight="1" x14ac:dyDescent="0.15">
      <c r="A42" s="4"/>
      <c r="K42" s="10"/>
      <c r="L42" s="10"/>
      <c r="M42" s="10"/>
      <c r="N42" s="10"/>
    </row>
    <row r="43" spans="1:14" ht="15.75" customHeight="1" x14ac:dyDescent="0.15">
      <c r="A43" s="4"/>
      <c r="K43" s="10"/>
      <c r="L43" s="10"/>
      <c r="M43" s="10"/>
      <c r="N43" s="10"/>
    </row>
    <row r="44" spans="1:14" ht="15.75" customHeight="1" x14ac:dyDescent="0.15">
      <c r="A44" s="4"/>
      <c r="K44" s="10"/>
      <c r="L44" s="10"/>
      <c r="M44" s="10"/>
      <c r="N44" s="10"/>
    </row>
    <row r="45" spans="1:14" ht="15.75" customHeight="1" x14ac:dyDescent="0.15">
      <c r="A45" s="4"/>
      <c r="K45" s="10"/>
      <c r="L45" s="10"/>
      <c r="M45" s="10"/>
      <c r="N45" s="10"/>
    </row>
    <row r="46" spans="1:14" ht="15.75" customHeight="1" x14ac:dyDescent="0.15">
      <c r="A46" s="4"/>
      <c r="K46" s="10"/>
      <c r="L46" s="10"/>
      <c r="M46" s="10"/>
      <c r="N46" s="10"/>
    </row>
    <row r="47" spans="1:14" ht="15.75" customHeight="1" x14ac:dyDescent="0.15">
      <c r="A47" s="4"/>
      <c r="K47" s="10"/>
      <c r="L47" s="10"/>
      <c r="M47" s="10"/>
      <c r="N47" s="10"/>
    </row>
    <row r="48" spans="1:14" ht="15.75" customHeight="1" x14ac:dyDescent="0.15">
      <c r="A48" s="4"/>
      <c r="K48" s="10"/>
      <c r="L48" s="10"/>
      <c r="M48" s="10"/>
      <c r="N48" s="10"/>
    </row>
    <row r="49" spans="1:14" ht="15.75" customHeight="1" x14ac:dyDescent="0.15">
      <c r="A49" s="4"/>
      <c r="K49" s="10"/>
      <c r="L49" s="10"/>
      <c r="M49" s="10"/>
      <c r="N49" s="10"/>
    </row>
    <row r="50" spans="1:14" ht="15.75" customHeight="1" x14ac:dyDescent="0.15">
      <c r="A50" s="4"/>
      <c r="K50" s="10"/>
      <c r="L50" s="10"/>
      <c r="M50" s="10"/>
      <c r="N50" s="10"/>
    </row>
    <row r="51" spans="1:14" ht="15.75" customHeight="1" x14ac:dyDescent="0.15">
      <c r="A51" s="4"/>
      <c r="K51" s="10"/>
      <c r="L51" s="10"/>
      <c r="M51" s="10"/>
      <c r="N51" s="10"/>
    </row>
    <row r="52" spans="1:14" ht="15.75" customHeight="1" x14ac:dyDescent="0.15">
      <c r="A52" s="4"/>
      <c r="K52" s="10"/>
      <c r="L52" s="10"/>
      <c r="M52" s="10"/>
      <c r="N52" s="10"/>
    </row>
    <row r="53" spans="1:14" ht="15.75" customHeight="1" x14ac:dyDescent="0.15">
      <c r="A53" s="4"/>
      <c r="K53" s="10"/>
      <c r="L53" s="10"/>
      <c r="M53" s="10"/>
      <c r="N53" s="10"/>
    </row>
    <row r="54" spans="1:14" ht="15.75" customHeight="1" x14ac:dyDescent="0.15">
      <c r="A54" s="4"/>
      <c r="K54" s="10"/>
      <c r="L54" s="10"/>
      <c r="M54" s="10"/>
      <c r="N54" s="10"/>
    </row>
    <row r="55" spans="1:14" ht="15.75" customHeight="1" x14ac:dyDescent="0.15">
      <c r="A55" s="4"/>
      <c r="K55" s="10"/>
      <c r="L55" s="10"/>
      <c r="M55" s="10"/>
      <c r="N55" s="10"/>
    </row>
    <row r="56" spans="1:14" ht="15.75" customHeight="1" x14ac:dyDescent="0.15">
      <c r="A56" s="4"/>
      <c r="K56" s="10"/>
      <c r="L56" s="10"/>
      <c r="M56" s="10"/>
      <c r="N56" s="10"/>
    </row>
    <row r="57" spans="1:14" ht="13" x14ac:dyDescent="0.15">
      <c r="A57" s="4"/>
      <c r="K57" s="10"/>
      <c r="L57" s="10"/>
      <c r="M57" s="10"/>
      <c r="N57" s="10"/>
    </row>
    <row r="58" spans="1:14" ht="13" x14ac:dyDescent="0.15">
      <c r="A58" s="4"/>
      <c r="K58" s="10"/>
      <c r="L58" s="10"/>
      <c r="M58" s="10"/>
      <c r="N58" s="10"/>
    </row>
    <row r="59" spans="1:14" ht="13" x14ac:dyDescent="0.15">
      <c r="A59" s="4"/>
      <c r="K59" s="10"/>
      <c r="L59" s="10"/>
      <c r="M59" s="10"/>
      <c r="N59" s="10"/>
    </row>
    <row r="60" spans="1:14" ht="13" x14ac:dyDescent="0.15">
      <c r="A60" s="4"/>
      <c r="K60" s="10"/>
      <c r="L60" s="10"/>
      <c r="M60" s="10"/>
      <c r="N60" s="10"/>
    </row>
    <row r="61" spans="1:14" ht="13" x14ac:dyDescent="0.15">
      <c r="A61" s="4"/>
      <c r="K61" s="10"/>
      <c r="L61" s="10"/>
      <c r="M61" s="10"/>
      <c r="N61" s="10"/>
    </row>
    <row r="62" spans="1:14" ht="13" x14ac:dyDescent="0.15">
      <c r="A62" s="4"/>
      <c r="K62" s="10"/>
      <c r="L62" s="10"/>
      <c r="M62" s="10"/>
      <c r="N62" s="10"/>
    </row>
    <row r="63" spans="1:14" ht="13" x14ac:dyDescent="0.15">
      <c r="A63" s="4"/>
      <c r="K63" s="10"/>
      <c r="L63" s="10"/>
      <c r="M63" s="10"/>
      <c r="N63" s="10"/>
    </row>
    <row r="64" spans="1:14" ht="13" x14ac:dyDescent="0.15">
      <c r="A64" s="4"/>
      <c r="K64" s="10"/>
      <c r="L64" s="10"/>
      <c r="M64" s="10"/>
      <c r="N64" s="10"/>
    </row>
    <row r="65" spans="1:14" ht="13" x14ac:dyDescent="0.15">
      <c r="A65" s="4"/>
      <c r="K65" s="10"/>
      <c r="L65" s="10"/>
      <c r="M65" s="10"/>
      <c r="N65" s="10"/>
    </row>
    <row r="66" spans="1:14" ht="13" x14ac:dyDescent="0.15">
      <c r="A66" s="4"/>
      <c r="K66" s="10"/>
      <c r="L66" s="10"/>
      <c r="M66" s="10"/>
      <c r="N66" s="10"/>
    </row>
    <row r="67" spans="1:14" ht="13" x14ac:dyDescent="0.15">
      <c r="A67" s="4"/>
      <c r="K67" s="10"/>
      <c r="L67" s="10"/>
      <c r="M67" s="10"/>
      <c r="N67" s="10"/>
    </row>
    <row r="68" spans="1:14" ht="13" x14ac:dyDescent="0.15">
      <c r="K68" s="10"/>
      <c r="L68" s="10"/>
      <c r="M68" s="10"/>
      <c r="N68" s="10"/>
    </row>
    <row r="69" spans="1:14" ht="13" x14ac:dyDescent="0.15">
      <c r="K69" s="10"/>
      <c r="L69" s="10"/>
      <c r="M69" s="10"/>
      <c r="N69" s="10"/>
    </row>
    <row r="70" spans="1:14" ht="13" x14ac:dyDescent="0.15">
      <c r="K70" s="10"/>
      <c r="L70" s="10"/>
      <c r="M70" s="10"/>
      <c r="N70" s="10"/>
    </row>
    <row r="71" spans="1:14" ht="13" x14ac:dyDescent="0.15">
      <c r="K71" s="10"/>
      <c r="L71" s="10"/>
      <c r="M71" s="10"/>
      <c r="N71" s="10"/>
    </row>
    <row r="72" spans="1:14" ht="13" x14ac:dyDescent="0.15">
      <c r="K72" s="10"/>
      <c r="L72" s="10"/>
      <c r="M72" s="10"/>
      <c r="N72" s="10"/>
    </row>
    <row r="73" spans="1:14" ht="13" x14ac:dyDescent="0.15">
      <c r="K73" s="10"/>
      <c r="L73" s="10"/>
      <c r="M73" s="10"/>
      <c r="N73" s="10"/>
    </row>
    <row r="74" spans="1:14" ht="13" x14ac:dyDescent="0.15">
      <c r="K74" s="10"/>
      <c r="L74" s="10"/>
      <c r="M74" s="10"/>
      <c r="N74" s="10"/>
    </row>
    <row r="75" spans="1:14" ht="13" x14ac:dyDescent="0.15">
      <c r="K75" s="10"/>
      <c r="L75" s="10"/>
      <c r="M75" s="10"/>
      <c r="N75" s="10"/>
    </row>
    <row r="76" spans="1:14" ht="13" x14ac:dyDescent="0.15">
      <c r="K76" s="10"/>
      <c r="L76" s="10"/>
      <c r="M76" s="10"/>
      <c r="N76" s="10"/>
    </row>
    <row r="77" spans="1:14" ht="13" x14ac:dyDescent="0.15">
      <c r="K77" s="10"/>
      <c r="L77" s="10"/>
      <c r="M77" s="10"/>
      <c r="N77" s="10"/>
    </row>
    <row r="78" spans="1:14" ht="13" x14ac:dyDescent="0.15">
      <c r="K78" s="10"/>
      <c r="L78" s="10"/>
      <c r="M78" s="10"/>
      <c r="N78" s="10"/>
    </row>
    <row r="79" spans="1:14" ht="13" x14ac:dyDescent="0.15">
      <c r="K79" s="10"/>
      <c r="L79" s="10"/>
      <c r="M79" s="10"/>
      <c r="N79" s="10"/>
    </row>
    <row r="80" spans="1:14" ht="13" x14ac:dyDescent="0.15">
      <c r="K80" s="10"/>
      <c r="L80" s="10"/>
      <c r="M80" s="10"/>
      <c r="N80" s="10"/>
    </row>
    <row r="81" spans="11:14" ht="13" x14ac:dyDescent="0.15">
      <c r="K81" s="10"/>
      <c r="L81" s="10"/>
      <c r="M81" s="10"/>
      <c r="N81" s="10"/>
    </row>
    <row r="82" spans="11:14" ht="13" x14ac:dyDescent="0.15">
      <c r="K82" s="10"/>
      <c r="L82" s="10"/>
      <c r="M82" s="10"/>
      <c r="N82" s="10"/>
    </row>
    <row r="83" spans="11:14" ht="13" x14ac:dyDescent="0.15">
      <c r="K83" s="10"/>
      <c r="L83" s="10"/>
      <c r="M83" s="10"/>
      <c r="N83" s="10"/>
    </row>
    <row r="84" spans="11:14" ht="13" x14ac:dyDescent="0.15">
      <c r="K84" s="10"/>
      <c r="L84" s="10"/>
      <c r="M84" s="10"/>
      <c r="N84" s="10"/>
    </row>
    <row r="85" spans="11:14" ht="13" x14ac:dyDescent="0.15">
      <c r="K85" s="10"/>
      <c r="L85" s="10"/>
      <c r="M85" s="10"/>
      <c r="N85" s="10"/>
    </row>
    <row r="86" spans="11:14" ht="13" x14ac:dyDescent="0.15">
      <c r="K86" s="10"/>
      <c r="L86" s="10"/>
      <c r="M86" s="10"/>
      <c r="N86" s="10"/>
    </row>
    <row r="87" spans="11:14" ht="13" x14ac:dyDescent="0.15">
      <c r="K87" s="10"/>
      <c r="L87" s="10"/>
      <c r="M87" s="10"/>
      <c r="N87" s="10"/>
    </row>
    <row r="88" spans="11:14" ht="13" x14ac:dyDescent="0.15">
      <c r="K88" s="10"/>
      <c r="L88" s="10"/>
      <c r="M88" s="10"/>
      <c r="N88" s="10"/>
    </row>
    <row r="89" spans="11:14" ht="13" x14ac:dyDescent="0.15">
      <c r="K89" s="10"/>
      <c r="L89" s="10"/>
      <c r="M89" s="10"/>
      <c r="N89" s="10"/>
    </row>
    <row r="90" spans="11:14" ht="13" x14ac:dyDescent="0.15">
      <c r="K90" s="10"/>
      <c r="L90" s="10"/>
      <c r="M90" s="10"/>
      <c r="N90" s="10"/>
    </row>
    <row r="91" spans="11:14" ht="13" x14ac:dyDescent="0.15">
      <c r="K91" s="10"/>
      <c r="L91" s="10"/>
      <c r="M91" s="10"/>
      <c r="N91" s="10"/>
    </row>
    <row r="92" spans="11:14" ht="13" x14ac:dyDescent="0.15">
      <c r="K92" s="10"/>
      <c r="L92" s="10"/>
      <c r="M92" s="10"/>
      <c r="N92" s="10"/>
    </row>
    <row r="93" spans="11:14" ht="13" x14ac:dyDescent="0.15">
      <c r="K93" s="10"/>
      <c r="L93" s="10"/>
      <c r="M93" s="10"/>
      <c r="N93" s="10"/>
    </row>
    <row r="94" spans="11:14" ht="13" x14ac:dyDescent="0.15">
      <c r="K94" s="10"/>
      <c r="L94" s="10"/>
      <c r="M94" s="10"/>
      <c r="N94" s="10"/>
    </row>
    <row r="95" spans="11:14" ht="13" x14ac:dyDescent="0.15">
      <c r="K95" s="10"/>
      <c r="L95" s="10"/>
      <c r="M95" s="10"/>
      <c r="N95" s="10"/>
    </row>
    <row r="96" spans="11:14" ht="13" x14ac:dyDescent="0.15">
      <c r="K96" s="10"/>
      <c r="L96" s="10"/>
      <c r="M96" s="10"/>
      <c r="N96" s="10"/>
    </row>
    <row r="97" spans="11:14" ht="13" x14ac:dyDescent="0.15">
      <c r="K97" s="10"/>
      <c r="L97" s="10"/>
      <c r="M97" s="10"/>
      <c r="N97" s="10"/>
    </row>
    <row r="98" spans="11:14" ht="13" x14ac:dyDescent="0.15">
      <c r="K98" s="10"/>
      <c r="L98" s="10"/>
      <c r="M98" s="10"/>
      <c r="N98" s="10"/>
    </row>
    <row r="99" spans="11:14" ht="13" x14ac:dyDescent="0.15">
      <c r="K99" s="10"/>
      <c r="L99" s="10"/>
      <c r="M99" s="10"/>
      <c r="N99" s="10"/>
    </row>
    <row r="100" spans="11:14" ht="13" x14ac:dyDescent="0.15">
      <c r="K100" s="10"/>
      <c r="L100" s="10"/>
      <c r="M100" s="10"/>
      <c r="N100" s="10"/>
    </row>
    <row r="101" spans="11:14" ht="13" x14ac:dyDescent="0.15">
      <c r="K101" s="10"/>
      <c r="L101" s="10"/>
      <c r="M101" s="10"/>
      <c r="N101" s="10"/>
    </row>
    <row r="102" spans="11:14" ht="13" x14ac:dyDescent="0.15">
      <c r="K102" s="10"/>
      <c r="L102" s="10"/>
      <c r="M102" s="10"/>
      <c r="N102" s="10"/>
    </row>
    <row r="103" spans="11:14" ht="13" x14ac:dyDescent="0.15">
      <c r="K103" s="10"/>
      <c r="L103" s="10"/>
      <c r="M103" s="10"/>
      <c r="N103" s="10"/>
    </row>
    <row r="104" spans="11:14" ht="13" x14ac:dyDescent="0.15">
      <c r="K104" s="10"/>
      <c r="L104" s="10"/>
      <c r="M104" s="10"/>
      <c r="N104" s="10"/>
    </row>
    <row r="105" spans="11:14" ht="13" x14ac:dyDescent="0.15">
      <c r="K105" s="10"/>
      <c r="L105" s="10"/>
      <c r="M105" s="10"/>
      <c r="N105" s="10"/>
    </row>
    <row r="106" spans="11:14" ht="13" x14ac:dyDescent="0.15">
      <c r="K106" s="10"/>
      <c r="L106" s="10"/>
      <c r="M106" s="10"/>
      <c r="N106" s="10"/>
    </row>
    <row r="107" spans="11:14" ht="13" x14ac:dyDescent="0.15">
      <c r="K107" s="10"/>
      <c r="L107" s="10"/>
      <c r="M107" s="10"/>
      <c r="N107" s="10"/>
    </row>
    <row r="108" spans="11:14" ht="13" x14ac:dyDescent="0.15">
      <c r="K108" s="10"/>
      <c r="L108" s="10"/>
      <c r="M108" s="10"/>
      <c r="N108" s="10"/>
    </row>
    <row r="109" spans="11:14" ht="13" x14ac:dyDescent="0.15">
      <c r="K109" s="10"/>
      <c r="L109" s="10"/>
      <c r="M109" s="10"/>
      <c r="N109" s="10"/>
    </row>
    <row r="110" spans="11:14" ht="13" x14ac:dyDescent="0.15">
      <c r="K110" s="10"/>
      <c r="L110" s="10"/>
      <c r="M110" s="10"/>
      <c r="N110" s="10"/>
    </row>
    <row r="111" spans="11:14" ht="13" x14ac:dyDescent="0.15">
      <c r="K111" s="10"/>
      <c r="L111" s="10"/>
      <c r="M111" s="10"/>
      <c r="N111" s="10"/>
    </row>
    <row r="112" spans="11:14" ht="13" x14ac:dyDescent="0.15">
      <c r="K112" s="10"/>
      <c r="L112" s="10"/>
      <c r="M112" s="10"/>
      <c r="N112" s="10"/>
    </row>
    <row r="113" spans="11:14" ht="13" x14ac:dyDescent="0.15">
      <c r="K113" s="10"/>
      <c r="L113" s="10"/>
      <c r="M113" s="10"/>
      <c r="N113" s="10"/>
    </row>
    <row r="114" spans="11:14" ht="13" x14ac:dyDescent="0.15">
      <c r="K114" s="10"/>
      <c r="L114" s="10"/>
      <c r="M114" s="10"/>
      <c r="N114" s="10"/>
    </row>
    <row r="115" spans="11:14" ht="13" x14ac:dyDescent="0.15">
      <c r="K115" s="10"/>
      <c r="L115" s="10"/>
      <c r="M115" s="10"/>
      <c r="N115" s="10"/>
    </row>
    <row r="116" spans="11:14" ht="13" x14ac:dyDescent="0.15">
      <c r="K116" s="10"/>
      <c r="L116" s="10"/>
      <c r="M116" s="10"/>
      <c r="N116" s="10"/>
    </row>
    <row r="117" spans="11:14" ht="13" x14ac:dyDescent="0.15">
      <c r="K117" s="10"/>
      <c r="L117" s="10"/>
      <c r="M117" s="10"/>
      <c r="N117" s="10"/>
    </row>
    <row r="118" spans="11:14" ht="13" x14ac:dyDescent="0.15">
      <c r="K118" s="10"/>
      <c r="L118" s="10"/>
      <c r="M118" s="10"/>
      <c r="N118" s="10"/>
    </row>
    <row r="119" spans="11:14" ht="13" x14ac:dyDescent="0.15">
      <c r="K119" s="10"/>
      <c r="L119" s="10"/>
      <c r="M119" s="10"/>
      <c r="N119" s="10"/>
    </row>
    <row r="120" spans="11:14" ht="13" x14ac:dyDescent="0.15">
      <c r="K120" s="10"/>
      <c r="L120" s="10"/>
      <c r="M120" s="10"/>
      <c r="N120" s="10"/>
    </row>
    <row r="121" spans="11:14" ht="13" x14ac:dyDescent="0.15">
      <c r="K121" s="10"/>
      <c r="L121" s="10"/>
      <c r="M121" s="10"/>
      <c r="N121" s="10"/>
    </row>
    <row r="122" spans="11:14" ht="13" x14ac:dyDescent="0.15">
      <c r="K122" s="10"/>
      <c r="L122" s="10"/>
      <c r="M122" s="10"/>
      <c r="N122" s="10"/>
    </row>
    <row r="123" spans="11:14" ht="13" x14ac:dyDescent="0.15">
      <c r="K123" s="10"/>
      <c r="L123" s="10"/>
      <c r="M123" s="10"/>
      <c r="N123" s="10"/>
    </row>
    <row r="124" spans="11:14" ht="13" x14ac:dyDescent="0.15">
      <c r="K124" s="10"/>
      <c r="L124" s="10"/>
      <c r="M124" s="10"/>
      <c r="N124" s="10"/>
    </row>
    <row r="125" spans="11:14" ht="13" x14ac:dyDescent="0.15">
      <c r="K125" s="10"/>
      <c r="L125" s="10"/>
      <c r="M125" s="10"/>
      <c r="N125" s="10"/>
    </row>
    <row r="126" spans="11:14" ht="13" x14ac:dyDescent="0.15">
      <c r="K126" s="10"/>
      <c r="L126" s="10"/>
      <c r="M126" s="10"/>
      <c r="N126" s="10"/>
    </row>
    <row r="127" spans="11:14" ht="13" x14ac:dyDescent="0.15">
      <c r="K127" s="10"/>
      <c r="L127" s="10"/>
      <c r="M127" s="10"/>
      <c r="N127" s="10"/>
    </row>
    <row r="128" spans="11:14" ht="13" x14ac:dyDescent="0.15">
      <c r="K128" s="10"/>
      <c r="L128" s="10"/>
      <c r="M128" s="10"/>
      <c r="N128" s="10"/>
    </row>
    <row r="129" spans="11:14" ht="13" x14ac:dyDescent="0.15">
      <c r="K129" s="10"/>
      <c r="L129" s="10"/>
      <c r="M129" s="10"/>
      <c r="N129" s="10"/>
    </row>
    <row r="130" spans="11:14" ht="13" x14ac:dyDescent="0.15">
      <c r="K130" s="10"/>
      <c r="L130" s="10"/>
      <c r="M130" s="10"/>
      <c r="N130" s="10"/>
    </row>
    <row r="131" spans="11:14" ht="13" x14ac:dyDescent="0.15">
      <c r="K131" s="10"/>
      <c r="L131" s="10"/>
      <c r="M131" s="10"/>
      <c r="N131" s="10"/>
    </row>
    <row r="132" spans="11:14" ht="13" x14ac:dyDescent="0.15">
      <c r="K132" s="10"/>
      <c r="L132" s="10"/>
      <c r="M132" s="10"/>
      <c r="N132" s="10"/>
    </row>
    <row r="133" spans="11:14" ht="13" x14ac:dyDescent="0.15">
      <c r="K133" s="10"/>
      <c r="L133" s="10"/>
      <c r="M133" s="10"/>
      <c r="N133" s="10"/>
    </row>
    <row r="134" spans="11:14" ht="13" x14ac:dyDescent="0.15">
      <c r="K134" s="10"/>
      <c r="L134" s="10"/>
      <c r="M134" s="10"/>
      <c r="N134" s="10"/>
    </row>
    <row r="135" spans="11:14" ht="13" x14ac:dyDescent="0.15">
      <c r="K135" s="10"/>
      <c r="L135" s="10"/>
      <c r="M135" s="10"/>
      <c r="N135" s="10"/>
    </row>
    <row r="136" spans="11:14" ht="13" x14ac:dyDescent="0.15">
      <c r="K136" s="10"/>
      <c r="L136" s="10"/>
      <c r="M136" s="10"/>
      <c r="N136" s="10"/>
    </row>
    <row r="137" spans="11:14" ht="13" x14ac:dyDescent="0.15">
      <c r="K137" s="10"/>
      <c r="L137" s="10"/>
      <c r="M137" s="10"/>
      <c r="N137" s="10"/>
    </row>
    <row r="138" spans="11:14" ht="13" x14ac:dyDescent="0.15">
      <c r="K138" s="10"/>
      <c r="L138" s="10"/>
      <c r="M138" s="10"/>
      <c r="N138" s="10"/>
    </row>
    <row r="139" spans="11:14" ht="13" x14ac:dyDescent="0.15">
      <c r="K139" s="10"/>
      <c r="L139" s="10"/>
      <c r="M139" s="10"/>
      <c r="N139" s="10"/>
    </row>
    <row r="140" spans="11:14" ht="13" x14ac:dyDescent="0.15">
      <c r="K140" s="10"/>
      <c r="L140" s="10"/>
      <c r="M140" s="10"/>
      <c r="N140" s="10"/>
    </row>
    <row r="141" spans="11:14" ht="13" x14ac:dyDescent="0.15">
      <c r="K141" s="10"/>
      <c r="L141" s="10"/>
      <c r="M141" s="10"/>
      <c r="N141" s="10"/>
    </row>
    <row r="142" spans="11:14" ht="13" x14ac:dyDescent="0.15">
      <c r="K142" s="10"/>
      <c r="L142" s="10"/>
      <c r="M142" s="10"/>
      <c r="N142" s="10"/>
    </row>
    <row r="143" spans="11:14" ht="13" x14ac:dyDescent="0.15">
      <c r="K143" s="10"/>
      <c r="L143" s="10"/>
      <c r="M143" s="10"/>
      <c r="N143" s="10"/>
    </row>
    <row r="144" spans="11:14" ht="13" x14ac:dyDescent="0.15">
      <c r="K144" s="10"/>
      <c r="L144" s="10"/>
      <c r="M144" s="10"/>
      <c r="N144" s="10"/>
    </row>
    <row r="145" spans="11:14" ht="13" x14ac:dyDescent="0.15">
      <c r="K145" s="10"/>
      <c r="L145" s="10"/>
      <c r="M145" s="10"/>
      <c r="N145" s="10"/>
    </row>
    <row r="146" spans="11:14" ht="13" x14ac:dyDescent="0.15">
      <c r="K146" s="10"/>
      <c r="L146" s="10"/>
      <c r="M146" s="10"/>
      <c r="N146" s="10"/>
    </row>
    <row r="147" spans="11:14" ht="13" x14ac:dyDescent="0.15">
      <c r="K147" s="10"/>
      <c r="L147" s="10"/>
      <c r="M147" s="10"/>
      <c r="N147" s="10"/>
    </row>
    <row r="148" spans="11:14" ht="13" x14ac:dyDescent="0.15">
      <c r="K148" s="10"/>
      <c r="L148" s="10"/>
      <c r="M148" s="10"/>
      <c r="N148" s="10"/>
    </row>
    <row r="149" spans="11:14" ht="13" x14ac:dyDescent="0.15">
      <c r="K149" s="10"/>
      <c r="L149" s="10"/>
      <c r="M149" s="10"/>
      <c r="N149" s="10"/>
    </row>
    <row r="150" spans="11:14" ht="13" x14ac:dyDescent="0.15">
      <c r="K150" s="10"/>
      <c r="L150" s="10"/>
      <c r="M150" s="10"/>
      <c r="N150" s="10"/>
    </row>
    <row r="151" spans="11:14" ht="13" x14ac:dyDescent="0.15">
      <c r="K151" s="10"/>
      <c r="L151" s="10"/>
      <c r="M151" s="10"/>
      <c r="N151" s="10"/>
    </row>
    <row r="152" spans="11:14" ht="13" x14ac:dyDescent="0.15">
      <c r="K152" s="10"/>
      <c r="L152" s="10"/>
      <c r="M152" s="10"/>
      <c r="N152" s="10"/>
    </row>
    <row r="153" spans="11:14" ht="13" x14ac:dyDescent="0.15">
      <c r="K153" s="10"/>
      <c r="L153" s="10"/>
      <c r="M153" s="10"/>
      <c r="N153" s="10"/>
    </row>
    <row r="154" spans="11:14" ht="13" x14ac:dyDescent="0.15">
      <c r="K154" s="10"/>
      <c r="L154" s="10"/>
      <c r="M154" s="10"/>
      <c r="N154" s="10"/>
    </row>
    <row r="155" spans="11:14" ht="13" x14ac:dyDescent="0.15">
      <c r="K155" s="10"/>
      <c r="L155" s="10"/>
      <c r="M155" s="10"/>
      <c r="N155" s="10"/>
    </row>
    <row r="156" spans="11:14" ht="13" x14ac:dyDescent="0.15">
      <c r="K156" s="10"/>
      <c r="L156" s="10"/>
      <c r="M156" s="10"/>
      <c r="N156" s="10"/>
    </row>
    <row r="157" spans="11:14" ht="13" x14ac:dyDescent="0.15">
      <c r="K157" s="10"/>
      <c r="L157" s="10"/>
      <c r="M157" s="10"/>
      <c r="N157" s="10"/>
    </row>
    <row r="158" spans="11:14" ht="13" x14ac:dyDescent="0.15">
      <c r="K158" s="10"/>
      <c r="L158" s="10"/>
      <c r="M158" s="10"/>
      <c r="N158" s="10"/>
    </row>
    <row r="159" spans="11:14" ht="13" x14ac:dyDescent="0.15">
      <c r="K159" s="10"/>
      <c r="L159" s="10"/>
      <c r="M159" s="10"/>
      <c r="N159" s="10"/>
    </row>
    <row r="160" spans="11:14" ht="13" x14ac:dyDescent="0.15">
      <c r="K160" s="10"/>
      <c r="L160" s="10"/>
      <c r="M160" s="10"/>
      <c r="N160" s="10"/>
    </row>
    <row r="161" spans="11:14" ht="13" x14ac:dyDescent="0.15">
      <c r="K161" s="10"/>
      <c r="L161" s="10"/>
      <c r="M161" s="10"/>
      <c r="N161" s="10"/>
    </row>
    <row r="162" spans="11:14" ht="13" x14ac:dyDescent="0.15">
      <c r="K162" s="10"/>
      <c r="L162" s="10"/>
      <c r="M162" s="10"/>
      <c r="N162" s="10"/>
    </row>
    <row r="163" spans="11:14" ht="13" x14ac:dyDescent="0.15">
      <c r="K163" s="10"/>
      <c r="L163" s="10"/>
      <c r="M163" s="10"/>
      <c r="N163" s="10"/>
    </row>
    <row r="164" spans="11:14" ht="13" x14ac:dyDescent="0.15">
      <c r="K164" s="10"/>
      <c r="L164" s="10"/>
      <c r="M164" s="10"/>
      <c r="N164" s="10"/>
    </row>
    <row r="165" spans="11:14" ht="13" x14ac:dyDescent="0.15">
      <c r="K165" s="10"/>
      <c r="L165" s="10"/>
      <c r="M165" s="10"/>
      <c r="N165" s="10"/>
    </row>
    <row r="166" spans="11:14" ht="13" x14ac:dyDescent="0.15">
      <c r="K166" s="10"/>
      <c r="L166" s="10"/>
      <c r="M166" s="10"/>
      <c r="N166" s="10"/>
    </row>
    <row r="167" spans="11:14" ht="13" x14ac:dyDescent="0.15">
      <c r="K167" s="10"/>
      <c r="L167" s="10"/>
      <c r="M167" s="10"/>
      <c r="N167" s="10"/>
    </row>
    <row r="168" spans="11:14" ht="13" x14ac:dyDescent="0.15">
      <c r="K168" s="10"/>
      <c r="L168" s="10"/>
      <c r="M168" s="10"/>
      <c r="N168" s="10"/>
    </row>
    <row r="169" spans="11:14" ht="13" x14ac:dyDescent="0.15">
      <c r="K169" s="10"/>
      <c r="L169" s="10"/>
      <c r="M169" s="10"/>
      <c r="N169" s="10"/>
    </row>
    <row r="170" spans="11:14" ht="13" x14ac:dyDescent="0.15">
      <c r="K170" s="10"/>
      <c r="L170" s="10"/>
      <c r="M170" s="10"/>
      <c r="N170" s="10"/>
    </row>
    <row r="171" spans="11:14" ht="13" x14ac:dyDescent="0.15">
      <c r="K171" s="10"/>
      <c r="L171" s="10"/>
      <c r="M171" s="10"/>
      <c r="N171" s="10"/>
    </row>
    <row r="172" spans="11:14" ht="13" x14ac:dyDescent="0.15">
      <c r="K172" s="10"/>
      <c r="L172" s="10"/>
      <c r="M172" s="10"/>
      <c r="N172" s="10"/>
    </row>
    <row r="173" spans="11:14" ht="13" x14ac:dyDescent="0.15">
      <c r="K173" s="10"/>
      <c r="L173" s="10"/>
      <c r="M173" s="10"/>
      <c r="N173" s="10"/>
    </row>
    <row r="174" spans="11:14" ht="13" x14ac:dyDescent="0.15">
      <c r="K174" s="10"/>
      <c r="L174" s="10"/>
      <c r="M174" s="10"/>
      <c r="N174" s="10"/>
    </row>
    <row r="175" spans="11:14" ht="13" x14ac:dyDescent="0.15">
      <c r="K175" s="10"/>
      <c r="L175" s="10"/>
      <c r="M175" s="10"/>
      <c r="N175" s="10"/>
    </row>
    <row r="176" spans="11:14" ht="13" x14ac:dyDescent="0.15">
      <c r="K176" s="10"/>
      <c r="L176" s="10"/>
      <c r="M176" s="10"/>
      <c r="N176" s="10"/>
    </row>
    <row r="177" spans="11:14" ht="13" x14ac:dyDescent="0.15">
      <c r="K177" s="10"/>
      <c r="L177" s="10"/>
      <c r="M177" s="10"/>
      <c r="N177" s="10"/>
    </row>
    <row r="178" spans="11:14" ht="13" x14ac:dyDescent="0.15">
      <c r="K178" s="10"/>
      <c r="L178" s="10"/>
      <c r="M178" s="10"/>
      <c r="N178" s="10"/>
    </row>
    <row r="179" spans="11:14" ht="13" x14ac:dyDescent="0.15">
      <c r="K179" s="10"/>
      <c r="L179" s="10"/>
      <c r="M179" s="10"/>
      <c r="N179" s="10"/>
    </row>
    <row r="180" spans="11:14" ht="13" x14ac:dyDescent="0.15">
      <c r="K180" s="10"/>
      <c r="L180" s="10"/>
      <c r="M180" s="10"/>
      <c r="N180" s="10"/>
    </row>
    <row r="181" spans="11:14" ht="13" x14ac:dyDescent="0.15">
      <c r="K181" s="10"/>
      <c r="L181" s="10"/>
      <c r="M181" s="10"/>
      <c r="N181" s="10"/>
    </row>
    <row r="182" spans="11:14" ht="13" x14ac:dyDescent="0.15">
      <c r="K182" s="10"/>
      <c r="L182" s="10"/>
      <c r="M182" s="10"/>
      <c r="N182" s="10"/>
    </row>
    <row r="183" spans="11:14" ht="13" x14ac:dyDescent="0.15">
      <c r="K183" s="10"/>
      <c r="L183" s="10"/>
      <c r="M183" s="10"/>
      <c r="N183" s="10"/>
    </row>
    <row r="184" spans="11:14" ht="13" x14ac:dyDescent="0.15">
      <c r="K184" s="10"/>
      <c r="L184" s="10"/>
      <c r="M184" s="10"/>
      <c r="N184" s="10"/>
    </row>
    <row r="185" spans="11:14" ht="13" x14ac:dyDescent="0.15">
      <c r="K185" s="10"/>
      <c r="L185" s="10"/>
      <c r="M185" s="10"/>
      <c r="N185" s="10"/>
    </row>
    <row r="186" spans="11:14" ht="13" x14ac:dyDescent="0.15">
      <c r="K186" s="10"/>
      <c r="L186" s="10"/>
      <c r="M186" s="10"/>
      <c r="N186" s="10"/>
    </row>
    <row r="187" spans="11:14" ht="13" x14ac:dyDescent="0.15">
      <c r="K187" s="10"/>
      <c r="L187" s="10"/>
      <c r="M187" s="10"/>
      <c r="N187" s="10"/>
    </row>
    <row r="188" spans="11:14" ht="13" x14ac:dyDescent="0.15">
      <c r="K188" s="10"/>
      <c r="L188" s="10"/>
      <c r="M188" s="10"/>
      <c r="N188" s="10"/>
    </row>
    <row r="189" spans="11:14" ht="13" x14ac:dyDescent="0.15">
      <c r="K189" s="10"/>
      <c r="L189" s="10"/>
      <c r="M189" s="10"/>
      <c r="N189" s="10"/>
    </row>
    <row r="190" spans="11:14" ht="13" x14ac:dyDescent="0.15">
      <c r="K190" s="10"/>
      <c r="L190" s="10"/>
      <c r="M190" s="10"/>
      <c r="N190" s="10"/>
    </row>
    <row r="191" spans="11:14" ht="13" x14ac:dyDescent="0.15">
      <c r="K191" s="10"/>
      <c r="L191" s="10"/>
      <c r="M191" s="10"/>
      <c r="N191" s="10"/>
    </row>
    <row r="192" spans="11:14" ht="13" x14ac:dyDescent="0.15">
      <c r="K192" s="10"/>
      <c r="L192" s="10"/>
      <c r="M192" s="10"/>
      <c r="N192" s="10"/>
    </row>
    <row r="193" spans="11:14" ht="13" x14ac:dyDescent="0.15">
      <c r="K193" s="10"/>
      <c r="L193" s="10"/>
      <c r="M193" s="10"/>
      <c r="N193" s="10"/>
    </row>
    <row r="194" spans="11:14" ht="13" x14ac:dyDescent="0.15">
      <c r="K194" s="10"/>
      <c r="L194" s="10"/>
      <c r="M194" s="10"/>
      <c r="N194" s="10"/>
    </row>
    <row r="195" spans="11:14" ht="13" x14ac:dyDescent="0.15">
      <c r="K195" s="10"/>
      <c r="L195" s="10"/>
      <c r="M195" s="10"/>
      <c r="N195" s="10"/>
    </row>
    <row r="196" spans="11:14" ht="13" x14ac:dyDescent="0.15">
      <c r="K196" s="10"/>
      <c r="L196" s="10"/>
      <c r="M196" s="10"/>
      <c r="N196" s="10"/>
    </row>
    <row r="197" spans="11:14" ht="13" x14ac:dyDescent="0.15">
      <c r="K197" s="10"/>
      <c r="L197" s="10"/>
      <c r="M197" s="10"/>
      <c r="N197" s="10"/>
    </row>
    <row r="198" spans="11:14" ht="13" x14ac:dyDescent="0.15">
      <c r="K198" s="10"/>
      <c r="L198" s="10"/>
      <c r="M198" s="10"/>
      <c r="N198" s="10"/>
    </row>
    <row r="199" spans="11:14" ht="13" x14ac:dyDescent="0.15">
      <c r="K199" s="10"/>
      <c r="L199" s="10"/>
      <c r="M199" s="10"/>
      <c r="N199" s="10"/>
    </row>
    <row r="200" spans="11:14" ht="13" x14ac:dyDescent="0.15">
      <c r="K200" s="10"/>
      <c r="L200" s="10"/>
      <c r="M200" s="10"/>
      <c r="N200" s="10"/>
    </row>
    <row r="201" spans="11:14" ht="13" x14ac:dyDescent="0.15">
      <c r="K201" s="10"/>
      <c r="L201" s="10"/>
      <c r="M201" s="10"/>
      <c r="N201" s="10"/>
    </row>
    <row r="202" spans="11:14" ht="13" x14ac:dyDescent="0.15">
      <c r="K202" s="10"/>
      <c r="L202" s="10"/>
      <c r="M202" s="10"/>
      <c r="N202" s="10"/>
    </row>
    <row r="203" spans="11:14" ht="13" x14ac:dyDescent="0.15">
      <c r="K203" s="10"/>
      <c r="L203" s="10"/>
      <c r="M203" s="10"/>
      <c r="N203" s="10"/>
    </row>
    <row r="204" spans="11:14" ht="13" x14ac:dyDescent="0.15">
      <c r="K204" s="10"/>
      <c r="L204" s="10"/>
      <c r="M204" s="10"/>
      <c r="N204" s="10"/>
    </row>
    <row r="205" spans="11:14" ht="13" x14ac:dyDescent="0.15">
      <c r="K205" s="10"/>
      <c r="L205" s="10"/>
      <c r="M205" s="10"/>
      <c r="N205" s="10"/>
    </row>
    <row r="206" spans="11:14" ht="13" x14ac:dyDescent="0.15">
      <c r="K206" s="10"/>
      <c r="L206" s="10"/>
      <c r="M206" s="10"/>
      <c r="N206" s="10"/>
    </row>
    <row r="207" spans="11:14" ht="13" x14ac:dyDescent="0.15">
      <c r="K207" s="10"/>
      <c r="L207" s="10"/>
      <c r="M207" s="10"/>
      <c r="N207" s="10"/>
    </row>
    <row r="208" spans="11:14" ht="13" x14ac:dyDescent="0.15">
      <c r="K208" s="10"/>
      <c r="L208" s="10"/>
      <c r="M208" s="10"/>
      <c r="N208" s="10"/>
    </row>
    <row r="209" spans="11:14" ht="13" x14ac:dyDescent="0.15">
      <c r="K209" s="10"/>
      <c r="L209" s="10"/>
      <c r="M209" s="10"/>
      <c r="N209" s="10"/>
    </row>
    <row r="210" spans="11:14" ht="13" x14ac:dyDescent="0.15">
      <c r="K210" s="10"/>
      <c r="L210" s="10"/>
      <c r="M210" s="10"/>
      <c r="N210" s="10"/>
    </row>
    <row r="211" spans="11:14" ht="13" x14ac:dyDescent="0.15">
      <c r="K211" s="10"/>
      <c r="L211" s="10"/>
      <c r="M211" s="10"/>
      <c r="N211" s="10"/>
    </row>
    <row r="212" spans="11:14" ht="13" x14ac:dyDescent="0.15">
      <c r="K212" s="10"/>
      <c r="L212" s="10"/>
      <c r="M212" s="10"/>
      <c r="N212" s="10"/>
    </row>
    <row r="213" spans="11:14" ht="13" x14ac:dyDescent="0.15">
      <c r="K213" s="10"/>
      <c r="L213" s="10"/>
      <c r="M213" s="10"/>
      <c r="N213" s="10"/>
    </row>
    <row r="214" spans="11:14" ht="13" x14ac:dyDescent="0.15">
      <c r="K214" s="10"/>
      <c r="L214" s="10"/>
      <c r="M214" s="10"/>
      <c r="N214" s="10"/>
    </row>
    <row r="215" spans="11:14" ht="13" x14ac:dyDescent="0.15">
      <c r="K215" s="10"/>
      <c r="L215" s="10"/>
      <c r="M215" s="10"/>
      <c r="N215" s="10"/>
    </row>
    <row r="216" spans="11:14" ht="13" x14ac:dyDescent="0.15">
      <c r="K216" s="10"/>
      <c r="L216" s="10"/>
      <c r="M216" s="10"/>
      <c r="N216" s="10"/>
    </row>
    <row r="217" spans="11:14" ht="13" x14ac:dyDescent="0.15">
      <c r="K217" s="10"/>
      <c r="L217" s="10"/>
      <c r="M217" s="10"/>
      <c r="N217" s="10"/>
    </row>
    <row r="218" spans="11:14" ht="13" x14ac:dyDescent="0.15">
      <c r="K218" s="10"/>
      <c r="L218" s="10"/>
      <c r="M218" s="10"/>
      <c r="N218" s="10"/>
    </row>
    <row r="219" spans="11:14" ht="13" x14ac:dyDescent="0.15">
      <c r="K219" s="10"/>
      <c r="L219" s="10"/>
      <c r="M219" s="10"/>
      <c r="N219" s="10"/>
    </row>
    <row r="220" spans="11:14" ht="13" x14ac:dyDescent="0.15">
      <c r="K220" s="10"/>
      <c r="L220" s="10"/>
      <c r="M220" s="10"/>
      <c r="N220" s="10"/>
    </row>
    <row r="221" spans="11:14" ht="13" x14ac:dyDescent="0.15">
      <c r="K221" s="10"/>
      <c r="L221" s="10"/>
      <c r="M221" s="10"/>
      <c r="N221" s="10"/>
    </row>
    <row r="222" spans="11:14" ht="13" x14ac:dyDescent="0.15">
      <c r="K222" s="10"/>
      <c r="L222" s="10"/>
      <c r="M222" s="10"/>
      <c r="N222" s="10"/>
    </row>
    <row r="223" spans="11:14" ht="13" x14ac:dyDescent="0.15">
      <c r="K223" s="10"/>
      <c r="L223" s="10"/>
      <c r="M223" s="10"/>
      <c r="N223" s="10"/>
    </row>
    <row r="224" spans="11:14" ht="13" x14ac:dyDescent="0.15">
      <c r="K224" s="10"/>
      <c r="L224" s="10"/>
      <c r="M224" s="10"/>
      <c r="N224" s="10"/>
    </row>
    <row r="225" spans="11:14" ht="13" x14ac:dyDescent="0.15">
      <c r="K225" s="10"/>
      <c r="L225" s="10"/>
      <c r="M225" s="10"/>
      <c r="N225" s="10"/>
    </row>
    <row r="226" spans="11:14" ht="13" x14ac:dyDescent="0.15">
      <c r="K226" s="10"/>
      <c r="L226" s="10"/>
      <c r="M226" s="10"/>
      <c r="N226" s="10"/>
    </row>
    <row r="227" spans="11:14" ht="13" x14ac:dyDescent="0.15">
      <c r="K227" s="10"/>
      <c r="L227" s="10"/>
      <c r="M227" s="10"/>
      <c r="N227" s="10"/>
    </row>
    <row r="228" spans="11:14" ht="13" x14ac:dyDescent="0.15">
      <c r="K228" s="10"/>
      <c r="L228" s="10"/>
      <c r="M228" s="10"/>
      <c r="N228" s="10"/>
    </row>
    <row r="229" spans="11:14" ht="13" x14ac:dyDescent="0.15">
      <c r="K229" s="10"/>
      <c r="L229" s="10"/>
      <c r="M229" s="10"/>
      <c r="N229" s="10"/>
    </row>
    <row r="230" spans="11:14" ht="13" x14ac:dyDescent="0.15">
      <c r="K230" s="10"/>
      <c r="L230" s="10"/>
      <c r="M230" s="10"/>
      <c r="N230" s="10"/>
    </row>
    <row r="231" spans="11:14" ht="13" x14ac:dyDescent="0.15">
      <c r="K231" s="10"/>
      <c r="L231" s="10"/>
      <c r="M231" s="10"/>
      <c r="N231" s="10"/>
    </row>
    <row r="232" spans="11:14" ht="13" x14ac:dyDescent="0.15">
      <c r="K232" s="10"/>
      <c r="L232" s="10"/>
      <c r="M232" s="10"/>
      <c r="N232" s="10"/>
    </row>
    <row r="233" spans="11:14" ht="13" x14ac:dyDescent="0.15">
      <c r="K233" s="10"/>
      <c r="L233" s="10"/>
      <c r="M233" s="10"/>
      <c r="N233" s="10"/>
    </row>
    <row r="234" spans="11:14" ht="13" x14ac:dyDescent="0.15">
      <c r="K234" s="10"/>
      <c r="L234" s="10"/>
      <c r="M234" s="10"/>
      <c r="N234" s="10"/>
    </row>
    <row r="235" spans="11:14" ht="13" x14ac:dyDescent="0.15">
      <c r="K235" s="10"/>
      <c r="L235" s="10"/>
      <c r="M235" s="10"/>
      <c r="N235" s="10"/>
    </row>
    <row r="236" spans="11:14" ht="13" x14ac:dyDescent="0.15">
      <c r="K236" s="10"/>
      <c r="L236" s="10"/>
      <c r="M236" s="10"/>
      <c r="N236" s="10"/>
    </row>
    <row r="237" spans="11:14" ht="13" x14ac:dyDescent="0.15">
      <c r="K237" s="10"/>
      <c r="L237" s="10"/>
      <c r="M237" s="10"/>
      <c r="N237" s="10"/>
    </row>
    <row r="238" spans="11:14" ht="13" x14ac:dyDescent="0.15">
      <c r="K238" s="10"/>
      <c r="L238" s="10"/>
      <c r="M238" s="10"/>
      <c r="N238" s="10"/>
    </row>
    <row r="239" spans="11:14" ht="13" x14ac:dyDescent="0.15">
      <c r="K239" s="10"/>
      <c r="L239" s="10"/>
      <c r="M239" s="10"/>
      <c r="N239" s="10"/>
    </row>
    <row r="240" spans="11:14" ht="13" x14ac:dyDescent="0.15">
      <c r="K240" s="10"/>
      <c r="L240" s="10"/>
      <c r="M240" s="10"/>
      <c r="N240" s="10"/>
    </row>
    <row r="241" spans="11:14" ht="13" x14ac:dyDescent="0.15">
      <c r="K241" s="10"/>
      <c r="L241" s="10"/>
      <c r="M241" s="10"/>
      <c r="N241" s="10"/>
    </row>
    <row r="242" spans="11:14" ht="13" x14ac:dyDescent="0.15">
      <c r="K242" s="10"/>
      <c r="L242" s="10"/>
      <c r="M242" s="10"/>
      <c r="N242" s="10"/>
    </row>
    <row r="243" spans="11:14" ht="13" x14ac:dyDescent="0.15">
      <c r="K243" s="10"/>
      <c r="L243" s="10"/>
      <c r="M243" s="10"/>
      <c r="N243" s="10"/>
    </row>
    <row r="244" spans="11:14" ht="13" x14ac:dyDescent="0.15">
      <c r="K244" s="10"/>
      <c r="L244" s="10"/>
      <c r="M244" s="10"/>
      <c r="N244" s="10"/>
    </row>
    <row r="245" spans="11:14" ht="13" x14ac:dyDescent="0.15">
      <c r="K245" s="10"/>
      <c r="L245" s="10"/>
      <c r="M245" s="10"/>
      <c r="N245" s="10"/>
    </row>
    <row r="246" spans="11:14" ht="13" x14ac:dyDescent="0.15">
      <c r="K246" s="10"/>
      <c r="L246" s="10"/>
      <c r="M246" s="10"/>
      <c r="N246" s="10"/>
    </row>
    <row r="247" spans="11:14" ht="13" x14ac:dyDescent="0.15">
      <c r="K247" s="10"/>
      <c r="L247" s="10"/>
      <c r="M247" s="10"/>
      <c r="N247" s="10"/>
    </row>
    <row r="248" spans="11:14" ht="13" x14ac:dyDescent="0.15">
      <c r="K248" s="10"/>
      <c r="L248" s="10"/>
      <c r="M248" s="10"/>
      <c r="N248" s="10"/>
    </row>
    <row r="249" spans="11:14" ht="13" x14ac:dyDescent="0.15">
      <c r="K249" s="10"/>
      <c r="L249" s="10"/>
      <c r="M249" s="10"/>
      <c r="N249" s="10"/>
    </row>
    <row r="250" spans="11:14" ht="13" x14ac:dyDescent="0.15">
      <c r="K250" s="10"/>
      <c r="L250" s="10"/>
      <c r="M250" s="10"/>
      <c r="N250" s="10"/>
    </row>
    <row r="251" spans="11:14" ht="13" x14ac:dyDescent="0.15">
      <c r="K251" s="10"/>
      <c r="L251" s="10"/>
      <c r="M251" s="10"/>
      <c r="N251" s="10"/>
    </row>
    <row r="252" spans="11:14" ht="13" x14ac:dyDescent="0.15">
      <c r="K252" s="10"/>
      <c r="L252" s="10"/>
      <c r="M252" s="10"/>
      <c r="N252" s="10"/>
    </row>
    <row r="253" spans="11:14" ht="13" x14ac:dyDescent="0.15">
      <c r="K253" s="10"/>
      <c r="L253" s="10"/>
      <c r="M253" s="10"/>
      <c r="N253" s="10"/>
    </row>
    <row r="254" spans="11:14" ht="13" x14ac:dyDescent="0.15">
      <c r="K254" s="10"/>
      <c r="L254" s="10"/>
      <c r="M254" s="10"/>
      <c r="N254" s="10"/>
    </row>
    <row r="255" spans="11:14" ht="13" x14ac:dyDescent="0.15">
      <c r="K255" s="10"/>
      <c r="L255" s="10"/>
      <c r="M255" s="10"/>
      <c r="N255" s="10"/>
    </row>
    <row r="256" spans="11:14" ht="13" x14ac:dyDescent="0.15">
      <c r="K256" s="10"/>
      <c r="L256" s="10"/>
      <c r="M256" s="10"/>
      <c r="N256" s="10"/>
    </row>
    <row r="257" spans="11:14" ht="13" x14ac:dyDescent="0.15">
      <c r="K257" s="10"/>
      <c r="L257" s="10"/>
      <c r="M257" s="10"/>
      <c r="N257" s="10"/>
    </row>
    <row r="258" spans="11:14" ht="13" x14ac:dyDescent="0.15">
      <c r="K258" s="10"/>
      <c r="L258" s="10"/>
      <c r="M258" s="10"/>
      <c r="N258" s="10"/>
    </row>
    <row r="259" spans="11:14" ht="13" x14ac:dyDescent="0.15">
      <c r="K259" s="10"/>
      <c r="L259" s="10"/>
      <c r="M259" s="10"/>
      <c r="N259" s="10"/>
    </row>
    <row r="260" spans="11:14" ht="13" x14ac:dyDescent="0.15">
      <c r="K260" s="10"/>
      <c r="L260" s="10"/>
      <c r="M260" s="10"/>
      <c r="N260" s="10"/>
    </row>
    <row r="261" spans="11:14" ht="13" x14ac:dyDescent="0.15">
      <c r="K261" s="10"/>
      <c r="L261" s="10"/>
      <c r="M261" s="10"/>
      <c r="N261" s="10"/>
    </row>
    <row r="262" spans="11:14" ht="13" x14ac:dyDescent="0.15">
      <c r="K262" s="10"/>
      <c r="L262" s="10"/>
      <c r="M262" s="10"/>
      <c r="N262" s="10"/>
    </row>
    <row r="263" spans="11:14" ht="13" x14ac:dyDescent="0.15">
      <c r="K263" s="10"/>
      <c r="L263" s="10"/>
      <c r="M263" s="10"/>
      <c r="N263" s="10"/>
    </row>
    <row r="264" spans="11:14" ht="13" x14ac:dyDescent="0.15">
      <c r="K264" s="10"/>
      <c r="L264" s="10"/>
      <c r="M264" s="10"/>
      <c r="N264" s="10"/>
    </row>
    <row r="265" spans="11:14" ht="13" x14ac:dyDescent="0.15">
      <c r="K265" s="10"/>
      <c r="L265" s="10"/>
      <c r="M265" s="10"/>
      <c r="N265" s="10"/>
    </row>
    <row r="266" spans="11:14" ht="13" x14ac:dyDescent="0.15">
      <c r="K266" s="10"/>
      <c r="L266" s="10"/>
      <c r="M266" s="10"/>
      <c r="N266" s="10"/>
    </row>
    <row r="267" spans="11:14" ht="13" x14ac:dyDescent="0.15">
      <c r="K267" s="10"/>
      <c r="L267" s="10"/>
      <c r="M267" s="10"/>
      <c r="N267" s="10"/>
    </row>
    <row r="268" spans="11:14" ht="13" x14ac:dyDescent="0.15">
      <c r="K268" s="10"/>
      <c r="L268" s="10"/>
      <c r="M268" s="10"/>
      <c r="N268" s="10"/>
    </row>
    <row r="269" spans="11:14" ht="13" x14ac:dyDescent="0.15">
      <c r="K269" s="10"/>
      <c r="L269" s="10"/>
      <c r="M269" s="10"/>
      <c r="N269" s="10"/>
    </row>
    <row r="270" spans="11:14" ht="13" x14ac:dyDescent="0.15">
      <c r="K270" s="10"/>
      <c r="L270" s="10"/>
      <c r="M270" s="10"/>
      <c r="N270" s="10"/>
    </row>
    <row r="271" spans="11:14" ht="13" x14ac:dyDescent="0.15">
      <c r="K271" s="10"/>
      <c r="L271" s="10"/>
      <c r="M271" s="10"/>
      <c r="N271" s="10"/>
    </row>
    <row r="272" spans="11:14" ht="13" x14ac:dyDescent="0.15">
      <c r="K272" s="10"/>
      <c r="L272" s="10"/>
      <c r="M272" s="10"/>
      <c r="N272" s="10"/>
    </row>
    <row r="273" spans="11:14" ht="13" x14ac:dyDescent="0.15">
      <c r="K273" s="10"/>
      <c r="L273" s="10"/>
      <c r="M273" s="10"/>
      <c r="N273" s="10"/>
    </row>
    <row r="274" spans="11:14" ht="13" x14ac:dyDescent="0.15">
      <c r="K274" s="10"/>
      <c r="L274" s="10"/>
      <c r="M274" s="10"/>
      <c r="N274" s="10"/>
    </row>
    <row r="275" spans="11:14" ht="13" x14ac:dyDescent="0.15">
      <c r="K275" s="10"/>
      <c r="L275" s="10"/>
      <c r="M275" s="10"/>
      <c r="N275" s="10"/>
    </row>
    <row r="276" spans="11:14" ht="13" x14ac:dyDescent="0.15">
      <c r="K276" s="10"/>
      <c r="L276" s="10"/>
      <c r="M276" s="10"/>
      <c r="N276" s="10"/>
    </row>
    <row r="277" spans="11:14" ht="13" x14ac:dyDescent="0.15">
      <c r="K277" s="10"/>
      <c r="L277" s="10"/>
      <c r="M277" s="10"/>
      <c r="N277" s="10"/>
    </row>
    <row r="278" spans="11:14" ht="13" x14ac:dyDescent="0.15">
      <c r="K278" s="10"/>
      <c r="L278" s="10"/>
      <c r="M278" s="10"/>
      <c r="N278" s="10"/>
    </row>
    <row r="279" spans="11:14" ht="13" x14ac:dyDescent="0.15">
      <c r="K279" s="10"/>
      <c r="L279" s="10"/>
      <c r="M279" s="10"/>
      <c r="N279" s="10"/>
    </row>
    <row r="280" spans="11:14" ht="13" x14ac:dyDescent="0.15">
      <c r="K280" s="10"/>
      <c r="L280" s="10"/>
      <c r="M280" s="10"/>
      <c r="N280" s="10"/>
    </row>
    <row r="281" spans="11:14" ht="13" x14ac:dyDescent="0.15">
      <c r="K281" s="10"/>
      <c r="L281" s="10"/>
      <c r="M281" s="10"/>
      <c r="N281" s="10"/>
    </row>
    <row r="282" spans="11:14" ht="13" x14ac:dyDescent="0.15">
      <c r="K282" s="10"/>
      <c r="L282" s="10"/>
      <c r="M282" s="10"/>
      <c r="N282" s="10"/>
    </row>
    <row r="283" spans="11:14" ht="13" x14ac:dyDescent="0.15">
      <c r="K283" s="10"/>
      <c r="L283" s="10"/>
      <c r="M283" s="10"/>
      <c r="N283" s="10"/>
    </row>
    <row r="284" spans="11:14" ht="13" x14ac:dyDescent="0.15">
      <c r="K284" s="10"/>
      <c r="L284" s="10"/>
      <c r="M284" s="10"/>
      <c r="N284" s="10"/>
    </row>
    <row r="285" spans="11:14" ht="13" x14ac:dyDescent="0.15">
      <c r="K285" s="10"/>
      <c r="L285" s="10"/>
      <c r="M285" s="10"/>
      <c r="N285" s="10"/>
    </row>
    <row r="286" spans="11:14" ht="13" x14ac:dyDescent="0.15">
      <c r="K286" s="10"/>
      <c r="L286" s="10"/>
      <c r="M286" s="10"/>
      <c r="N286" s="10"/>
    </row>
    <row r="287" spans="11:14" ht="13" x14ac:dyDescent="0.15">
      <c r="K287" s="10"/>
      <c r="L287" s="10"/>
      <c r="M287" s="10"/>
      <c r="N287" s="10"/>
    </row>
    <row r="288" spans="11:14" ht="13" x14ac:dyDescent="0.15">
      <c r="K288" s="10"/>
      <c r="L288" s="10"/>
      <c r="M288" s="10"/>
      <c r="N288" s="10"/>
    </row>
    <row r="289" spans="11:14" ht="13" x14ac:dyDescent="0.15">
      <c r="K289" s="10"/>
      <c r="L289" s="10"/>
      <c r="M289" s="10"/>
      <c r="N289" s="10"/>
    </row>
    <row r="290" spans="11:14" ht="13" x14ac:dyDescent="0.15">
      <c r="K290" s="10"/>
      <c r="L290" s="10"/>
      <c r="M290" s="10"/>
      <c r="N290" s="10"/>
    </row>
    <row r="291" spans="11:14" ht="13" x14ac:dyDescent="0.15">
      <c r="K291" s="10"/>
      <c r="L291" s="10"/>
      <c r="M291" s="10"/>
      <c r="N291" s="10"/>
    </row>
    <row r="292" spans="11:14" ht="13" x14ac:dyDescent="0.15">
      <c r="K292" s="10"/>
      <c r="L292" s="10"/>
      <c r="M292" s="10"/>
      <c r="N292" s="10"/>
    </row>
    <row r="293" spans="11:14" ht="13" x14ac:dyDescent="0.15">
      <c r="K293" s="10"/>
      <c r="L293" s="10"/>
      <c r="M293" s="10"/>
      <c r="N293" s="10"/>
    </row>
    <row r="294" spans="11:14" ht="13" x14ac:dyDescent="0.15">
      <c r="K294" s="10"/>
      <c r="L294" s="10"/>
      <c r="M294" s="10"/>
      <c r="N294" s="10"/>
    </row>
    <row r="295" spans="11:14" ht="13" x14ac:dyDescent="0.15">
      <c r="K295" s="10"/>
      <c r="L295" s="10"/>
      <c r="M295" s="10"/>
      <c r="N295" s="10"/>
    </row>
    <row r="296" spans="11:14" ht="13" x14ac:dyDescent="0.15">
      <c r="K296" s="10"/>
      <c r="L296" s="10"/>
      <c r="M296" s="10"/>
      <c r="N296" s="10"/>
    </row>
    <row r="297" spans="11:14" ht="13" x14ac:dyDescent="0.15">
      <c r="K297" s="10"/>
      <c r="L297" s="10"/>
      <c r="M297" s="10"/>
      <c r="N297" s="10"/>
    </row>
    <row r="298" spans="11:14" ht="13" x14ac:dyDescent="0.15">
      <c r="K298" s="10"/>
      <c r="L298" s="10"/>
      <c r="M298" s="10"/>
      <c r="N298" s="10"/>
    </row>
    <row r="299" spans="11:14" ht="13" x14ac:dyDescent="0.15">
      <c r="K299" s="10"/>
      <c r="L299" s="10"/>
      <c r="M299" s="10"/>
      <c r="N299" s="10"/>
    </row>
    <row r="300" spans="11:14" ht="13" x14ac:dyDescent="0.15">
      <c r="K300" s="10"/>
      <c r="L300" s="10"/>
      <c r="M300" s="10"/>
      <c r="N300" s="10"/>
    </row>
    <row r="301" spans="11:14" ht="13" x14ac:dyDescent="0.15">
      <c r="K301" s="10"/>
      <c r="L301" s="10"/>
      <c r="M301" s="10"/>
      <c r="N301" s="10"/>
    </row>
    <row r="302" spans="11:14" ht="13" x14ac:dyDescent="0.15">
      <c r="K302" s="10"/>
      <c r="L302" s="10"/>
      <c r="M302" s="10"/>
      <c r="N302" s="10"/>
    </row>
    <row r="303" spans="11:14" ht="13" x14ac:dyDescent="0.15">
      <c r="K303" s="10"/>
      <c r="L303" s="10"/>
      <c r="M303" s="10"/>
      <c r="N303" s="10"/>
    </row>
    <row r="304" spans="11:14" ht="13" x14ac:dyDescent="0.15">
      <c r="K304" s="10"/>
      <c r="L304" s="10"/>
      <c r="M304" s="10"/>
      <c r="N304" s="10"/>
    </row>
    <row r="305" spans="11:14" ht="13" x14ac:dyDescent="0.15">
      <c r="K305" s="10"/>
      <c r="L305" s="10"/>
      <c r="M305" s="10"/>
      <c r="N305" s="10"/>
    </row>
    <row r="306" spans="11:14" ht="13" x14ac:dyDescent="0.15">
      <c r="K306" s="10"/>
      <c r="L306" s="10"/>
      <c r="M306" s="10"/>
      <c r="N306" s="10"/>
    </row>
    <row r="307" spans="11:14" ht="13" x14ac:dyDescent="0.15">
      <c r="K307" s="10"/>
      <c r="L307" s="10"/>
      <c r="M307" s="10"/>
      <c r="N307" s="10"/>
    </row>
    <row r="308" spans="11:14" ht="13" x14ac:dyDescent="0.15">
      <c r="K308" s="10"/>
      <c r="L308" s="10"/>
      <c r="M308" s="10"/>
      <c r="N308" s="10"/>
    </row>
    <row r="309" spans="11:14" ht="13" x14ac:dyDescent="0.15">
      <c r="K309" s="10"/>
      <c r="L309" s="10"/>
      <c r="M309" s="10"/>
      <c r="N309" s="10"/>
    </row>
    <row r="310" spans="11:14" ht="13" x14ac:dyDescent="0.15">
      <c r="K310" s="10"/>
      <c r="L310" s="10"/>
      <c r="M310" s="10"/>
      <c r="N310" s="10"/>
    </row>
    <row r="311" spans="11:14" ht="13" x14ac:dyDescent="0.15">
      <c r="K311" s="10"/>
      <c r="L311" s="10"/>
      <c r="M311" s="10"/>
      <c r="N311" s="10"/>
    </row>
    <row r="312" spans="11:14" ht="13" x14ac:dyDescent="0.15">
      <c r="K312" s="10"/>
      <c r="L312" s="10"/>
      <c r="M312" s="10"/>
      <c r="N312" s="10"/>
    </row>
    <row r="313" spans="11:14" ht="13" x14ac:dyDescent="0.15">
      <c r="K313" s="10"/>
      <c r="L313" s="10"/>
      <c r="M313" s="10"/>
      <c r="N313" s="10"/>
    </row>
    <row r="314" spans="11:14" ht="13" x14ac:dyDescent="0.15">
      <c r="K314" s="10"/>
      <c r="L314" s="10"/>
      <c r="M314" s="10"/>
      <c r="N314" s="10"/>
    </row>
    <row r="315" spans="11:14" ht="13" x14ac:dyDescent="0.15">
      <c r="K315" s="10"/>
      <c r="L315" s="10"/>
      <c r="M315" s="10"/>
      <c r="N315" s="10"/>
    </row>
    <row r="316" spans="11:14" ht="13" x14ac:dyDescent="0.15">
      <c r="K316" s="10"/>
      <c r="L316" s="10"/>
      <c r="M316" s="10"/>
      <c r="N316" s="10"/>
    </row>
    <row r="317" spans="11:14" ht="13" x14ac:dyDescent="0.15">
      <c r="K317" s="10"/>
      <c r="L317" s="10"/>
      <c r="M317" s="10"/>
      <c r="N317" s="10"/>
    </row>
    <row r="318" spans="11:14" ht="13" x14ac:dyDescent="0.15">
      <c r="K318" s="10"/>
      <c r="L318" s="10"/>
      <c r="M318" s="10"/>
      <c r="N318" s="10"/>
    </row>
    <row r="319" spans="11:14" ht="13" x14ac:dyDescent="0.15">
      <c r="K319" s="10"/>
      <c r="L319" s="10"/>
      <c r="M319" s="10"/>
      <c r="N319" s="10"/>
    </row>
    <row r="320" spans="11:14" ht="13" x14ac:dyDescent="0.15">
      <c r="K320" s="10"/>
      <c r="L320" s="10"/>
      <c r="M320" s="10"/>
      <c r="N320" s="10"/>
    </row>
    <row r="321" spans="11:14" ht="13" x14ac:dyDescent="0.15">
      <c r="K321" s="10"/>
      <c r="L321" s="10"/>
      <c r="M321" s="10"/>
      <c r="N321" s="10"/>
    </row>
    <row r="322" spans="11:14" ht="13" x14ac:dyDescent="0.15">
      <c r="K322" s="10"/>
      <c r="L322" s="10"/>
      <c r="M322" s="10"/>
      <c r="N322" s="10"/>
    </row>
    <row r="323" spans="11:14" ht="13" x14ac:dyDescent="0.15">
      <c r="K323" s="10"/>
      <c r="L323" s="10"/>
      <c r="M323" s="10"/>
      <c r="N323" s="10"/>
    </row>
    <row r="324" spans="11:14" ht="13" x14ac:dyDescent="0.15">
      <c r="K324" s="10"/>
      <c r="L324" s="10"/>
      <c r="M324" s="10"/>
      <c r="N324" s="10"/>
    </row>
    <row r="325" spans="11:14" ht="13" x14ac:dyDescent="0.15">
      <c r="K325" s="10"/>
      <c r="L325" s="10"/>
      <c r="M325" s="10"/>
      <c r="N325" s="10"/>
    </row>
    <row r="326" spans="11:14" ht="13" x14ac:dyDescent="0.15">
      <c r="K326" s="10"/>
      <c r="L326" s="10"/>
      <c r="M326" s="10"/>
      <c r="N326" s="10"/>
    </row>
    <row r="327" spans="11:14" ht="13" x14ac:dyDescent="0.15">
      <c r="K327" s="10"/>
      <c r="L327" s="10"/>
      <c r="M327" s="10"/>
      <c r="N327" s="10"/>
    </row>
    <row r="328" spans="11:14" ht="13" x14ac:dyDescent="0.15">
      <c r="K328" s="10"/>
      <c r="L328" s="10"/>
      <c r="M328" s="10"/>
      <c r="N328" s="10"/>
    </row>
    <row r="329" spans="11:14" ht="13" x14ac:dyDescent="0.15">
      <c r="K329" s="10"/>
      <c r="L329" s="10"/>
      <c r="M329" s="10"/>
      <c r="N329" s="10"/>
    </row>
    <row r="330" spans="11:14" ht="13" x14ac:dyDescent="0.15">
      <c r="K330" s="10"/>
      <c r="L330" s="10"/>
      <c r="M330" s="10"/>
      <c r="N330" s="10"/>
    </row>
    <row r="331" spans="11:14" ht="13" x14ac:dyDescent="0.15">
      <c r="K331" s="10"/>
      <c r="L331" s="10"/>
      <c r="M331" s="10"/>
      <c r="N331" s="10"/>
    </row>
    <row r="332" spans="11:14" ht="13" x14ac:dyDescent="0.15">
      <c r="K332" s="10"/>
      <c r="L332" s="10"/>
      <c r="M332" s="10"/>
      <c r="N332" s="10"/>
    </row>
    <row r="333" spans="11:14" ht="13" x14ac:dyDescent="0.15">
      <c r="K333" s="10"/>
      <c r="L333" s="10"/>
      <c r="M333" s="10"/>
      <c r="N333" s="10"/>
    </row>
    <row r="334" spans="11:14" ht="13" x14ac:dyDescent="0.15">
      <c r="K334" s="10"/>
      <c r="L334" s="10"/>
      <c r="M334" s="10"/>
      <c r="N334" s="10"/>
    </row>
    <row r="335" spans="11:14" ht="13" x14ac:dyDescent="0.15">
      <c r="K335" s="10"/>
      <c r="L335" s="10"/>
      <c r="M335" s="10"/>
      <c r="N335" s="10"/>
    </row>
    <row r="336" spans="11:14" ht="13" x14ac:dyDescent="0.15">
      <c r="K336" s="10"/>
      <c r="L336" s="10"/>
      <c r="M336" s="10"/>
      <c r="N336" s="10"/>
    </row>
    <row r="337" spans="11:14" ht="13" x14ac:dyDescent="0.15">
      <c r="K337" s="10"/>
      <c r="L337" s="10"/>
      <c r="M337" s="10"/>
      <c r="N337" s="10"/>
    </row>
    <row r="338" spans="11:14" ht="13" x14ac:dyDescent="0.15">
      <c r="K338" s="10"/>
      <c r="L338" s="10"/>
      <c r="M338" s="10"/>
      <c r="N338" s="10"/>
    </row>
    <row r="339" spans="11:14" ht="13" x14ac:dyDescent="0.15">
      <c r="K339" s="10"/>
      <c r="L339" s="10"/>
      <c r="M339" s="10"/>
      <c r="N339" s="10"/>
    </row>
    <row r="340" spans="11:14" ht="13" x14ac:dyDescent="0.15">
      <c r="K340" s="10"/>
      <c r="L340" s="10"/>
      <c r="M340" s="10"/>
      <c r="N340" s="10"/>
    </row>
    <row r="341" spans="11:14" ht="13" x14ac:dyDescent="0.15">
      <c r="K341" s="10"/>
      <c r="L341" s="10"/>
      <c r="M341" s="10"/>
      <c r="N341" s="10"/>
    </row>
    <row r="342" spans="11:14" ht="13" x14ac:dyDescent="0.15">
      <c r="K342" s="10"/>
      <c r="L342" s="10"/>
      <c r="M342" s="10"/>
      <c r="N342" s="10"/>
    </row>
    <row r="343" spans="11:14" ht="13" x14ac:dyDescent="0.15">
      <c r="K343" s="10"/>
      <c r="L343" s="10"/>
      <c r="M343" s="10"/>
      <c r="N343" s="10"/>
    </row>
    <row r="344" spans="11:14" ht="13" x14ac:dyDescent="0.15">
      <c r="K344" s="10"/>
      <c r="L344" s="10"/>
      <c r="M344" s="10"/>
      <c r="N344" s="10"/>
    </row>
    <row r="345" spans="11:14" ht="13" x14ac:dyDescent="0.15">
      <c r="K345" s="10"/>
      <c r="L345" s="10"/>
      <c r="M345" s="10"/>
      <c r="N345" s="10"/>
    </row>
    <row r="346" spans="11:14" ht="13" x14ac:dyDescent="0.15">
      <c r="K346" s="10"/>
      <c r="L346" s="10"/>
      <c r="M346" s="10"/>
      <c r="N346" s="10"/>
    </row>
    <row r="347" spans="11:14" ht="13" x14ac:dyDescent="0.15">
      <c r="K347" s="10"/>
      <c r="L347" s="10"/>
      <c r="M347" s="10"/>
      <c r="N347" s="10"/>
    </row>
    <row r="348" spans="11:14" ht="13" x14ac:dyDescent="0.15">
      <c r="K348" s="10"/>
      <c r="L348" s="10"/>
      <c r="M348" s="10"/>
      <c r="N348" s="10"/>
    </row>
    <row r="349" spans="11:14" ht="13" x14ac:dyDescent="0.15">
      <c r="K349" s="10"/>
      <c r="L349" s="10"/>
      <c r="M349" s="10"/>
      <c r="N349" s="10"/>
    </row>
    <row r="350" spans="11:14" ht="13" x14ac:dyDescent="0.15">
      <c r="K350" s="10"/>
      <c r="L350" s="10"/>
      <c r="M350" s="10"/>
      <c r="N350" s="10"/>
    </row>
    <row r="351" spans="11:14" ht="13" x14ac:dyDescent="0.15">
      <c r="K351" s="10"/>
      <c r="L351" s="10"/>
      <c r="M351" s="10"/>
      <c r="N351" s="10"/>
    </row>
    <row r="352" spans="11:14" ht="13" x14ac:dyDescent="0.15">
      <c r="K352" s="10"/>
      <c r="L352" s="10"/>
      <c r="M352" s="10"/>
      <c r="N352" s="10"/>
    </row>
    <row r="353" spans="11:14" ht="13" x14ac:dyDescent="0.15">
      <c r="K353" s="10"/>
      <c r="L353" s="10"/>
      <c r="M353" s="10"/>
      <c r="N353" s="10"/>
    </row>
    <row r="354" spans="11:14" ht="13" x14ac:dyDescent="0.15">
      <c r="K354" s="10"/>
      <c r="L354" s="10"/>
      <c r="M354" s="10"/>
      <c r="N354" s="10"/>
    </row>
    <row r="355" spans="11:14" ht="13" x14ac:dyDescent="0.15">
      <c r="K355" s="10"/>
      <c r="L355" s="10"/>
      <c r="M355" s="10"/>
      <c r="N355" s="10"/>
    </row>
    <row r="356" spans="11:14" ht="13" x14ac:dyDescent="0.15">
      <c r="K356" s="10"/>
      <c r="L356" s="10"/>
      <c r="M356" s="10"/>
      <c r="N356" s="10"/>
    </row>
    <row r="357" spans="11:14" ht="13" x14ac:dyDescent="0.15">
      <c r="K357" s="10"/>
      <c r="L357" s="10"/>
      <c r="M357" s="10"/>
      <c r="N357" s="10"/>
    </row>
    <row r="358" spans="11:14" ht="13" x14ac:dyDescent="0.15">
      <c r="K358" s="10"/>
      <c r="L358" s="10"/>
      <c r="M358" s="10"/>
      <c r="N358" s="10"/>
    </row>
    <row r="359" spans="11:14" ht="13" x14ac:dyDescent="0.15">
      <c r="K359" s="10"/>
      <c r="L359" s="10"/>
      <c r="M359" s="10"/>
      <c r="N359" s="10"/>
    </row>
    <row r="360" spans="11:14" ht="13" x14ac:dyDescent="0.15">
      <c r="K360" s="10"/>
      <c r="L360" s="10"/>
      <c r="M360" s="10"/>
      <c r="N360" s="10"/>
    </row>
    <row r="361" spans="11:14" ht="13" x14ac:dyDescent="0.15">
      <c r="K361" s="10"/>
      <c r="L361" s="10"/>
      <c r="M361" s="10"/>
      <c r="N361" s="10"/>
    </row>
    <row r="362" spans="11:14" ht="13" x14ac:dyDescent="0.15">
      <c r="K362" s="10"/>
      <c r="L362" s="10"/>
      <c r="M362" s="10"/>
      <c r="N362" s="10"/>
    </row>
    <row r="363" spans="11:14" ht="13" x14ac:dyDescent="0.15">
      <c r="K363" s="10"/>
      <c r="L363" s="10"/>
      <c r="M363" s="10"/>
      <c r="N363" s="10"/>
    </row>
    <row r="364" spans="11:14" ht="13" x14ac:dyDescent="0.15">
      <c r="K364" s="10"/>
      <c r="L364" s="10"/>
      <c r="M364" s="10"/>
      <c r="N364" s="10"/>
    </row>
    <row r="365" spans="11:14" ht="13" x14ac:dyDescent="0.15">
      <c r="K365" s="10"/>
      <c r="L365" s="10"/>
      <c r="M365" s="10"/>
      <c r="N365" s="10"/>
    </row>
    <row r="366" spans="11:14" ht="13" x14ac:dyDescent="0.15">
      <c r="K366" s="10"/>
      <c r="L366" s="10"/>
      <c r="M366" s="10"/>
      <c r="N366" s="10"/>
    </row>
    <row r="367" spans="11:14" ht="13" x14ac:dyDescent="0.15">
      <c r="K367" s="10"/>
      <c r="L367" s="10"/>
      <c r="M367" s="10"/>
      <c r="N367" s="10"/>
    </row>
    <row r="368" spans="11:14" ht="13" x14ac:dyDescent="0.15">
      <c r="K368" s="10"/>
      <c r="L368" s="10"/>
      <c r="M368" s="10"/>
      <c r="N368" s="10"/>
    </row>
    <row r="369" spans="11:14" ht="13" x14ac:dyDescent="0.15">
      <c r="K369" s="10"/>
      <c r="L369" s="10"/>
      <c r="M369" s="10"/>
      <c r="N369" s="10"/>
    </row>
    <row r="370" spans="11:14" ht="13" x14ac:dyDescent="0.15">
      <c r="K370" s="10"/>
      <c r="L370" s="10"/>
      <c r="M370" s="10"/>
      <c r="N370" s="10"/>
    </row>
    <row r="371" spans="11:14" ht="13" x14ac:dyDescent="0.15">
      <c r="K371" s="10"/>
      <c r="L371" s="10"/>
      <c r="M371" s="10"/>
      <c r="N371" s="10"/>
    </row>
    <row r="372" spans="11:14" ht="13" x14ac:dyDescent="0.15">
      <c r="K372" s="10"/>
      <c r="L372" s="10"/>
      <c r="M372" s="10"/>
      <c r="N372" s="10"/>
    </row>
    <row r="373" spans="11:14" ht="13" x14ac:dyDescent="0.15">
      <c r="K373" s="10"/>
      <c r="L373" s="10"/>
      <c r="M373" s="10"/>
      <c r="N373" s="10"/>
    </row>
    <row r="374" spans="11:14" ht="13" x14ac:dyDescent="0.15">
      <c r="K374" s="10"/>
      <c r="L374" s="10"/>
      <c r="M374" s="10"/>
      <c r="N374" s="10"/>
    </row>
    <row r="375" spans="11:14" ht="13" x14ac:dyDescent="0.15">
      <c r="K375" s="10"/>
      <c r="L375" s="10"/>
      <c r="M375" s="10"/>
      <c r="N375" s="10"/>
    </row>
    <row r="376" spans="11:14" ht="13" x14ac:dyDescent="0.15">
      <c r="K376" s="10"/>
      <c r="L376" s="10"/>
      <c r="M376" s="10"/>
      <c r="N376" s="10"/>
    </row>
    <row r="377" spans="11:14" ht="13" x14ac:dyDescent="0.15">
      <c r="K377" s="10"/>
      <c r="L377" s="10"/>
      <c r="M377" s="10"/>
      <c r="N377" s="10"/>
    </row>
    <row r="378" spans="11:14" ht="13" x14ac:dyDescent="0.15">
      <c r="K378" s="10"/>
      <c r="L378" s="10"/>
      <c r="M378" s="10"/>
      <c r="N378" s="10"/>
    </row>
    <row r="379" spans="11:14" ht="13" x14ac:dyDescent="0.15">
      <c r="K379" s="10"/>
      <c r="L379" s="10"/>
      <c r="M379" s="10"/>
      <c r="N379" s="10"/>
    </row>
    <row r="380" spans="11:14" ht="13" x14ac:dyDescent="0.15">
      <c r="K380" s="10"/>
      <c r="L380" s="10"/>
      <c r="M380" s="10"/>
      <c r="N380" s="10"/>
    </row>
    <row r="381" spans="11:14" ht="13" x14ac:dyDescent="0.15">
      <c r="K381" s="10"/>
      <c r="L381" s="10"/>
      <c r="M381" s="10"/>
      <c r="N381" s="10"/>
    </row>
    <row r="382" spans="11:14" ht="13" x14ac:dyDescent="0.15">
      <c r="K382" s="10"/>
      <c r="L382" s="10"/>
      <c r="M382" s="10"/>
      <c r="N382" s="10"/>
    </row>
    <row r="383" spans="11:14" ht="13" x14ac:dyDescent="0.15">
      <c r="K383" s="10"/>
      <c r="L383" s="10"/>
      <c r="M383" s="10"/>
      <c r="N383" s="10"/>
    </row>
    <row r="384" spans="11:14" ht="13" x14ac:dyDescent="0.15">
      <c r="K384" s="10"/>
      <c r="L384" s="10"/>
      <c r="M384" s="10"/>
      <c r="N384" s="10"/>
    </row>
    <row r="385" spans="11:14" ht="13" x14ac:dyDescent="0.15">
      <c r="K385" s="10"/>
      <c r="L385" s="10"/>
      <c r="M385" s="10"/>
      <c r="N385" s="10"/>
    </row>
    <row r="386" spans="11:14" ht="13" x14ac:dyDescent="0.15">
      <c r="K386" s="10"/>
      <c r="L386" s="10"/>
      <c r="M386" s="10"/>
      <c r="N386" s="10"/>
    </row>
    <row r="387" spans="11:14" ht="13" x14ac:dyDescent="0.15">
      <c r="K387" s="10"/>
      <c r="L387" s="10"/>
      <c r="M387" s="10"/>
      <c r="N387" s="10"/>
    </row>
    <row r="388" spans="11:14" ht="13" x14ac:dyDescent="0.15">
      <c r="K388" s="10"/>
      <c r="L388" s="10"/>
      <c r="M388" s="10"/>
      <c r="N388" s="10"/>
    </row>
    <row r="389" spans="11:14" ht="13" x14ac:dyDescent="0.15">
      <c r="K389" s="10"/>
      <c r="L389" s="10"/>
      <c r="M389" s="10"/>
      <c r="N389" s="10"/>
    </row>
    <row r="390" spans="11:14" ht="13" x14ac:dyDescent="0.15">
      <c r="K390" s="10"/>
      <c r="L390" s="10"/>
      <c r="M390" s="10"/>
      <c r="N390" s="10"/>
    </row>
    <row r="391" spans="11:14" ht="13" x14ac:dyDescent="0.15">
      <c r="K391" s="10"/>
      <c r="L391" s="10"/>
      <c r="M391" s="10"/>
      <c r="N391" s="10"/>
    </row>
    <row r="392" spans="11:14" ht="13" x14ac:dyDescent="0.15">
      <c r="K392" s="10"/>
      <c r="L392" s="10"/>
      <c r="M392" s="10"/>
      <c r="N392" s="10"/>
    </row>
    <row r="393" spans="11:14" ht="13" x14ac:dyDescent="0.15">
      <c r="K393" s="10"/>
      <c r="L393" s="10"/>
      <c r="M393" s="10"/>
      <c r="N393" s="10"/>
    </row>
    <row r="394" spans="11:14" ht="13" x14ac:dyDescent="0.15">
      <c r="K394" s="10"/>
      <c r="L394" s="10"/>
      <c r="M394" s="10"/>
      <c r="N394" s="10"/>
    </row>
    <row r="395" spans="11:14" ht="13" x14ac:dyDescent="0.15">
      <c r="K395" s="10"/>
      <c r="L395" s="10"/>
      <c r="M395" s="10"/>
      <c r="N395" s="10"/>
    </row>
    <row r="396" spans="11:14" ht="13" x14ac:dyDescent="0.15">
      <c r="K396" s="10"/>
      <c r="L396" s="10"/>
      <c r="M396" s="10"/>
      <c r="N396" s="10"/>
    </row>
    <row r="397" spans="11:14" ht="13" x14ac:dyDescent="0.15">
      <c r="K397" s="10"/>
      <c r="L397" s="10"/>
      <c r="M397" s="10"/>
      <c r="N397" s="10"/>
    </row>
    <row r="398" spans="11:14" ht="13" x14ac:dyDescent="0.15">
      <c r="K398" s="10"/>
      <c r="L398" s="10"/>
      <c r="M398" s="10"/>
      <c r="N398" s="10"/>
    </row>
    <row r="399" spans="11:14" ht="13" x14ac:dyDescent="0.15">
      <c r="K399" s="10"/>
      <c r="L399" s="10"/>
      <c r="M399" s="10"/>
      <c r="N399" s="10"/>
    </row>
    <row r="400" spans="11:14" ht="13" x14ac:dyDescent="0.15">
      <c r="K400" s="10"/>
      <c r="L400" s="10"/>
      <c r="M400" s="10"/>
      <c r="N400" s="10"/>
    </row>
    <row r="401" spans="11:14" ht="13" x14ac:dyDescent="0.15">
      <c r="K401" s="10"/>
      <c r="L401" s="10"/>
      <c r="M401" s="10"/>
      <c r="N401" s="10"/>
    </row>
    <row r="402" spans="11:14" ht="13" x14ac:dyDescent="0.15">
      <c r="K402" s="10"/>
      <c r="L402" s="10"/>
      <c r="M402" s="10"/>
      <c r="N402" s="10"/>
    </row>
    <row r="403" spans="11:14" ht="13" x14ac:dyDescent="0.15">
      <c r="K403" s="10"/>
      <c r="L403" s="10"/>
      <c r="M403" s="10"/>
      <c r="N403" s="10"/>
    </row>
    <row r="404" spans="11:14" ht="13" x14ac:dyDescent="0.15">
      <c r="K404" s="10"/>
      <c r="L404" s="10"/>
      <c r="M404" s="10"/>
      <c r="N404" s="10"/>
    </row>
    <row r="405" spans="11:14" ht="13" x14ac:dyDescent="0.15">
      <c r="K405" s="10"/>
      <c r="L405" s="10"/>
      <c r="M405" s="10"/>
      <c r="N405" s="10"/>
    </row>
    <row r="406" spans="11:14" ht="13" x14ac:dyDescent="0.15">
      <c r="K406" s="10"/>
      <c r="L406" s="10"/>
      <c r="M406" s="10"/>
      <c r="N406" s="10"/>
    </row>
    <row r="407" spans="11:14" ht="13" x14ac:dyDescent="0.15">
      <c r="K407" s="10"/>
      <c r="L407" s="10"/>
      <c r="M407" s="10"/>
      <c r="N407" s="10"/>
    </row>
    <row r="408" spans="11:14" ht="13" x14ac:dyDescent="0.15">
      <c r="K408" s="10"/>
      <c r="L408" s="10"/>
      <c r="M408" s="10"/>
      <c r="N408" s="10"/>
    </row>
    <row r="409" spans="11:14" ht="13" x14ac:dyDescent="0.15">
      <c r="K409" s="10"/>
      <c r="L409" s="10"/>
      <c r="M409" s="10"/>
      <c r="N409" s="10"/>
    </row>
    <row r="410" spans="11:14" ht="13" x14ac:dyDescent="0.15">
      <c r="K410" s="10"/>
      <c r="L410" s="10"/>
      <c r="M410" s="10"/>
      <c r="N410" s="10"/>
    </row>
    <row r="411" spans="11:14" ht="13" x14ac:dyDescent="0.15">
      <c r="K411" s="10"/>
      <c r="L411" s="10"/>
      <c r="M411" s="10"/>
      <c r="N411" s="10"/>
    </row>
    <row r="412" spans="11:14" ht="13" x14ac:dyDescent="0.15">
      <c r="K412" s="10"/>
      <c r="L412" s="10"/>
      <c r="M412" s="10"/>
      <c r="N412" s="10"/>
    </row>
    <row r="413" spans="11:14" ht="13" x14ac:dyDescent="0.15">
      <c r="K413" s="10"/>
      <c r="L413" s="10"/>
      <c r="M413" s="10"/>
      <c r="N413" s="10"/>
    </row>
    <row r="414" spans="11:14" ht="13" x14ac:dyDescent="0.15">
      <c r="K414" s="10"/>
      <c r="L414" s="10"/>
      <c r="M414" s="10"/>
      <c r="N414" s="10"/>
    </row>
    <row r="415" spans="11:14" ht="13" x14ac:dyDescent="0.15">
      <c r="K415" s="10"/>
      <c r="L415" s="10"/>
      <c r="M415" s="10"/>
      <c r="N415" s="10"/>
    </row>
    <row r="416" spans="11:14" ht="13" x14ac:dyDescent="0.15">
      <c r="K416" s="10"/>
      <c r="L416" s="10"/>
      <c r="M416" s="10"/>
      <c r="N416" s="10"/>
    </row>
    <row r="417" spans="11:14" ht="13" x14ac:dyDescent="0.15">
      <c r="K417" s="10"/>
      <c r="L417" s="10"/>
      <c r="M417" s="10"/>
      <c r="N417" s="10"/>
    </row>
    <row r="418" spans="11:14" ht="13" x14ac:dyDescent="0.15">
      <c r="K418" s="10"/>
      <c r="L418" s="10"/>
      <c r="M418" s="10"/>
      <c r="N418" s="10"/>
    </row>
    <row r="419" spans="11:14" ht="13" x14ac:dyDescent="0.15">
      <c r="K419" s="10"/>
      <c r="L419" s="10"/>
      <c r="M419" s="10"/>
      <c r="N419" s="10"/>
    </row>
    <row r="420" spans="11:14" ht="13" x14ac:dyDescent="0.15">
      <c r="K420" s="10"/>
      <c r="L420" s="10"/>
      <c r="M420" s="10"/>
      <c r="N420" s="10"/>
    </row>
    <row r="421" spans="11:14" ht="13" x14ac:dyDescent="0.15">
      <c r="K421" s="10"/>
      <c r="L421" s="10"/>
      <c r="M421" s="10"/>
      <c r="N421" s="10"/>
    </row>
    <row r="422" spans="11:14" ht="13" x14ac:dyDescent="0.15">
      <c r="K422" s="10"/>
      <c r="L422" s="10"/>
      <c r="M422" s="10"/>
      <c r="N422" s="10"/>
    </row>
    <row r="423" spans="11:14" ht="13" x14ac:dyDescent="0.15">
      <c r="K423" s="10"/>
      <c r="L423" s="10"/>
      <c r="M423" s="10"/>
      <c r="N423" s="10"/>
    </row>
    <row r="424" spans="11:14" ht="13" x14ac:dyDescent="0.15">
      <c r="K424" s="10"/>
      <c r="L424" s="10"/>
      <c r="M424" s="10"/>
      <c r="N424" s="10"/>
    </row>
    <row r="425" spans="11:14" ht="13" x14ac:dyDescent="0.15">
      <c r="K425" s="10"/>
      <c r="L425" s="10"/>
      <c r="M425" s="10"/>
      <c r="N425" s="10"/>
    </row>
    <row r="426" spans="11:14" ht="13" x14ac:dyDescent="0.15">
      <c r="K426" s="10"/>
      <c r="L426" s="10"/>
      <c r="M426" s="10"/>
      <c r="N426" s="10"/>
    </row>
    <row r="427" spans="11:14" ht="13" x14ac:dyDescent="0.15">
      <c r="K427" s="10"/>
      <c r="L427" s="10"/>
      <c r="M427" s="10"/>
      <c r="N427" s="10"/>
    </row>
    <row r="428" spans="11:14" ht="13" x14ac:dyDescent="0.15">
      <c r="K428" s="10"/>
      <c r="L428" s="10"/>
      <c r="M428" s="10"/>
      <c r="N428" s="10"/>
    </row>
    <row r="429" spans="11:14" ht="13" x14ac:dyDescent="0.15">
      <c r="K429" s="10"/>
      <c r="L429" s="10"/>
      <c r="M429" s="10"/>
      <c r="N429" s="10"/>
    </row>
    <row r="430" spans="11:14" ht="13" x14ac:dyDescent="0.15">
      <c r="K430" s="10"/>
      <c r="L430" s="10"/>
      <c r="M430" s="10"/>
      <c r="N430" s="10"/>
    </row>
    <row r="431" spans="11:14" ht="13" x14ac:dyDescent="0.15">
      <c r="K431" s="10"/>
      <c r="L431" s="10"/>
      <c r="M431" s="10"/>
      <c r="N431" s="10"/>
    </row>
    <row r="432" spans="11:14" ht="13" x14ac:dyDescent="0.15">
      <c r="K432" s="10"/>
      <c r="L432" s="10"/>
      <c r="M432" s="10"/>
      <c r="N432" s="10"/>
    </row>
    <row r="433" spans="11:14" ht="13" x14ac:dyDescent="0.15">
      <c r="K433" s="10"/>
      <c r="L433" s="10"/>
      <c r="M433" s="10"/>
      <c r="N433" s="10"/>
    </row>
    <row r="434" spans="11:14" ht="13" x14ac:dyDescent="0.15">
      <c r="K434" s="10"/>
      <c r="L434" s="10"/>
      <c r="M434" s="10"/>
      <c r="N434" s="10"/>
    </row>
    <row r="435" spans="11:14" ht="13" x14ac:dyDescent="0.15">
      <c r="K435" s="10"/>
      <c r="L435" s="10"/>
      <c r="M435" s="10"/>
      <c r="N435" s="10"/>
    </row>
    <row r="436" spans="11:14" ht="13" x14ac:dyDescent="0.15">
      <c r="K436" s="10"/>
      <c r="L436" s="10"/>
      <c r="M436" s="10"/>
      <c r="N436" s="10"/>
    </row>
    <row r="437" spans="11:14" ht="13" x14ac:dyDescent="0.15">
      <c r="K437" s="10"/>
      <c r="L437" s="10"/>
      <c r="M437" s="10"/>
      <c r="N437" s="10"/>
    </row>
    <row r="438" spans="11:14" ht="13" x14ac:dyDescent="0.15">
      <c r="K438" s="10"/>
      <c r="L438" s="10"/>
      <c r="M438" s="10"/>
      <c r="N438" s="10"/>
    </row>
    <row r="439" spans="11:14" ht="13" x14ac:dyDescent="0.15">
      <c r="K439" s="10"/>
      <c r="L439" s="10"/>
      <c r="M439" s="10"/>
      <c r="N439" s="10"/>
    </row>
    <row r="440" spans="11:14" ht="13" x14ac:dyDescent="0.15">
      <c r="K440" s="10"/>
      <c r="L440" s="10"/>
      <c r="M440" s="10"/>
      <c r="N440" s="10"/>
    </row>
    <row r="441" spans="11:14" ht="13" x14ac:dyDescent="0.15">
      <c r="K441" s="10"/>
      <c r="L441" s="10"/>
      <c r="M441" s="10"/>
      <c r="N441" s="10"/>
    </row>
    <row r="442" spans="11:14" ht="13" x14ac:dyDescent="0.15">
      <c r="K442" s="10"/>
      <c r="L442" s="10"/>
      <c r="M442" s="10"/>
      <c r="N442" s="10"/>
    </row>
    <row r="443" spans="11:14" ht="13" x14ac:dyDescent="0.15">
      <c r="K443" s="10"/>
      <c r="L443" s="10"/>
      <c r="M443" s="10"/>
      <c r="N443" s="10"/>
    </row>
    <row r="444" spans="11:14" ht="13" x14ac:dyDescent="0.15">
      <c r="K444" s="10"/>
      <c r="L444" s="10"/>
      <c r="M444" s="10"/>
      <c r="N444" s="10"/>
    </row>
    <row r="445" spans="11:14" ht="13" x14ac:dyDescent="0.15">
      <c r="K445" s="10"/>
      <c r="L445" s="10"/>
      <c r="M445" s="10"/>
      <c r="N445" s="10"/>
    </row>
    <row r="446" spans="11:14" ht="13" x14ac:dyDescent="0.15">
      <c r="K446" s="10"/>
      <c r="L446" s="10"/>
      <c r="M446" s="10"/>
      <c r="N446" s="10"/>
    </row>
    <row r="447" spans="11:14" ht="13" x14ac:dyDescent="0.15">
      <c r="K447" s="10"/>
      <c r="L447" s="10"/>
      <c r="M447" s="10"/>
      <c r="N447" s="10"/>
    </row>
    <row r="448" spans="11:14" ht="13" x14ac:dyDescent="0.15">
      <c r="K448" s="10"/>
      <c r="L448" s="10"/>
      <c r="M448" s="10"/>
      <c r="N448" s="10"/>
    </row>
    <row r="449" spans="11:14" ht="13" x14ac:dyDescent="0.15">
      <c r="K449" s="10"/>
      <c r="L449" s="10"/>
      <c r="M449" s="10"/>
      <c r="N449" s="10"/>
    </row>
    <row r="450" spans="11:14" ht="13" x14ac:dyDescent="0.15">
      <c r="K450" s="10"/>
      <c r="L450" s="10"/>
      <c r="M450" s="10"/>
      <c r="N450" s="10"/>
    </row>
    <row r="451" spans="11:14" ht="13" x14ac:dyDescent="0.15">
      <c r="K451" s="10"/>
      <c r="L451" s="10"/>
      <c r="M451" s="10"/>
      <c r="N451" s="10"/>
    </row>
    <row r="452" spans="11:14" ht="13" x14ac:dyDescent="0.15">
      <c r="K452" s="10"/>
      <c r="L452" s="10"/>
      <c r="M452" s="10"/>
      <c r="N452" s="10"/>
    </row>
    <row r="453" spans="11:14" ht="13" x14ac:dyDescent="0.15">
      <c r="K453" s="10"/>
      <c r="L453" s="10"/>
      <c r="M453" s="10"/>
      <c r="N453" s="10"/>
    </row>
    <row r="454" spans="11:14" ht="13" x14ac:dyDescent="0.15">
      <c r="K454" s="10"/>
      <c r="L454" s="10"/>
      <c r="M454" s="10"/>
      <c r="N454" s="10"/>
    </row>
    <row r="455" spans="11:14" ht="13" x14ac:dyDescent="0.15">
      <c r="K455" s="10"/>
      <c r="L455" s="10"/>
      <c r="M455" s="10"/>
      <c r="N455" s="10"/>
    </row>
    <row r="456" spans="11:14" ht="13" x14ac:dyDescent="0.15">
      <c r="K456" s="10"/>
      <c r="L456" s="10"/>
      <c r="M456" s="10"/>
      <c r="N456" s="10"/>
    </row>
    <row r="457" spans="11:14" ht="13" x14ac:dyDescent="0.15">
      <c r="K457" s="10"/>
      <c r="L457" s="10"/>
      <c r="M457" s="10"/>
      <c r="N457" s="10"/>
    </row>
    <row r="458" spans="11:14" ht="13" x14ac:dyDescent="0.15">
      <c r="K458" s="10"/>
      <c r="L458" s="10"/>
      <c r="M458" s="10"/>
      <c r="N458" s="10"/>
    </row>
    <row r="459" spans="11:14" ht="13" x14ac:dyDescent="0.15">
      <c r="K459" s="10"/>
      <c r="L459" s="10"/>
      <c r="M459" s="10"/>
      <c r="N459" s="10"/>
    </row>
    <row r="460" spans="11:14" ht="13" x14ac:dyDescent="0.15">
      <c r="K460" s="10"/>
      <c r="L460" s="10"/>
      <c r="M460" s="10"/>
      <c r="N460" s="10"/>
    </row>
    <row r="461" spans="11:14" ht="13" x14ac:dyDescent="0.15">
      <c r="K461" s="10"/>
      <c r="L461" s="10"/>
      <c r="M461" s="10"/>
      <c r="N461" s="10"/>
    </row>
    <row r="462" spans="11:14" ht="13" x14ac:dyDescent="0.15">
      <c r="K462" s="10"/>
      <c r="L462" s="10"/>
      <c r="M462" s="10"/>
      <c r="N462" s="10"/>
    </row>
    <row r="463" spans="11:14" ht="13" x14ac:dyDescent="0.15">
      <c r="K463" s="10"/>
      <c r="L463" s="10"/>
      <c r="M463" s="10"/>
      <c r="N463" s="10"/>
    </row>
    <row r="464" spans="11:14" ht="13" x14ac:dyDescent="0.15">
      <c r="K464" s="10"/>
      <c r="L464" s="10"/>
      <c r="M464" s="10"/>
      <c r="N464" s="10"/>
    </row>
    <row r="465" spans="11:14" ht="13" x14ac:dyDescent="0.15">
      <c r="K465" s="10"/>
      <c r="L465" s="10"/>
      <c r="M465" s="10"/>
      <c r="N465" s="10"/>
    </row>
    <row r="466" spans="11:14" ht="13" x14ac:dyDescent="0.15">
      <c r="K466" s="10"/>
      <c r="L466" s="10"/>
      <c r="M466" s="10"/>
      <c r="N466" s="10"/>
    </row>
    <row r="467" spans="11:14" ht="13" x14ac:dyDescent="0.15">
      <c r="K467" s="10"/>
      <c r="L467" s="10"/>
      <c r="M467" s="10"/>
      <c r="N467" s="10"/>
    </row>
    <row r="468" spans="11:14" ht="13" x14ac:dyDescent="0.15">
      <c r="K468" s="10"/>
      <c r="L468" s="10"/>
      <c r="M468" s="10"/>
      <c r="N468" s="10"/>
    </row>
    <row r="469" spans="11:14" ht="13" x14ac:dyDescent="0.15">
      <c r="K469" s="10"/>
      <c r="L469" s="10"/>
      <c r="M469" s="10"/>
      <c r="N469" s="10"/>
    </row>
    <row r="470" spans="11:14" ht="13" x14ac:dyDescent="0.15">
      <c r="K470" s="10"/>
      <c r="L470" s="10"/>
      <c r="M470" s="10"/>
      <c r="N470" s="10"/>
    </row>
    <row r="471" spans="11:14" ht="13" x14ac:dyDescent="0.15">
      <c r="K471" s="10"/>
      <c r="L471" s="10"/>
      <c r="M471" s="10"/>
      <c r="N471" s="10"/>
    </row>
    <row r="472" spans="11:14" ht="13" x14ac:dyDescent="0.15">
      <c r="K472" s="10"/>
      <c r="L472" s="10"/>
      <c r="M472" s="10"/>
      <c r="N472" s="10"/>
    </row>
    <row r="473" spans="11:14" ht="13" x14ac:dyDescent="0.15">
      <c r="K473" s="10"/>
      <c r="L473" s="10"/>
      <c r="M473" s="10"/>
      <c r="N473" s="10"/>
    </row>
    <row r="474" spans="11:14" ht="13" x14ac:dyDescent="0.15">
      <c r="K474" s="10"/>
      <c r="L474" s="10"/>
      <c r="M474" s="10"/>
      <c r="N474" s="10"/>
    </row>
    <row r="475" spans="11:14" ht="13" x14ac:dyDescent="0.15">
      <c r="K475" s="10"/>
      <c r="L475" s="10"/>
      <c r="M475" s="10"/>
      <c r="N475" s="10"/>
    </row>
    <row r="476" spans="11:14" ht="13" x14ac:dyDescent="0.15">
      <c r="K476" s="10"/>
      <c r="L476" s="10"/>
      <c r="M476" s="10"/>
      <c r="N476" s="10"/>
    </row>
    <row r="477" spans="11:14" ht="13" x14ac:dyDescent="0.15">
      <c r="K477" s="10"/>
      <c r="L477" s="10"/>
      <c r="M477" s="10"/>
      <c r="N477" s="10"/>
    </row>
    <row r="478" spans="11:14" ht="13" x14ac:dyDescent="0.15">
      <c r="K478" s="10"/>
      <c r="L478" s="10"/>
      <c r="M478" s="10"/>
      <c r="N478" s="10"/>
    </row>
    <row r="479" spans="11:14" ht="13" x14ac:dyDescent="0.15">
      <c r="K479" s="10"/>
      <c r="L479" s="10"/>
      <c r="M479" s="10"/>
      <c r="N479" s="10"/>
    </row>
    <row r="480" spans="11:14" ht="13" x14ac:dyDescent="0.15">
      <c r="K480" s="10"/>
      <c r="L480" s="10"/>
      <c r="M480" s="10"/>
      <c r="N480" s="10"/>
    </row>
    <row r="481" spans="11:14" ht="13" x14ac:dyDescent="0.15">
      <c r="K481" s="10"/>
      <c r="L481" s="10"/>
      <c r="M481" s="10"/>
      <c r="N481" s="10"/>
    </row>
    <row r="482" spans="11:14" ht="13" x14ac:dyDescent="0.15">
      <c r="K482" s="10"/>
      <c r="L482" s="10"/>
      <c r="M482" s="10"/>
      <c r="N482" s="10"/>
    </row>
    <row r="483" spans="11:14" ht="13" x14ac:dyDescent="0.15">
      <c r="K483" s="10"/>
      <c r="L483" s="10"/>
      <c r="M483" s="10"/>
      <c r="N483" s="10"/>
    </row>
    <row r="484" spans="11:14" ht="13" x14ac:dyDescent="0.15">
      <c r="K484" s="10"/>
      <c r="L484" s="10"/>
      <c r="M484" s="10"/>
      <c r="N484" s="10"/>
    </row>
    <row r="485" spans="11:14" ht="13" x14ac:dyDescent="0.15">
      <c r="K485" s="10"/>
      <c r="L485" s="10"/>
      <c r="M485" s="10"/>
      <c r="N485" s="10"/>
    </row>
    <row r="486" spans="11:14" ht="13" x14ac:dyDescent="0.15">
      <c r="K486" s="10"/>
      <c r="L486" s="10"/>
      <c r="M486" s="10"/>
      <c r="N486" s="10"/>
    </row>
    <row r="487" spans="11:14" ht="13" x14ac:dyDescent="0.15">
      <c r="K487" s="10"/>
      <c r="L487" s="10"/>
      <c r="M487" s="10"/>
      <c r="N487" s="10"/>
    </row>
    <row r="488" spans="11:14" ht="13" x14ac:dyDescent="0.15">
      <c r="K488" s="10"/>
      <c r="L488" s="10"/>
      <c r="M488" s="10"/>
      <c r="N488" s="10"/>
    </row>
    <row r="489" spans="11:14" ht="13" x14ac:dyDescent="0.15">
      <c r="K489" s="10"/>
      <c r="L489" s="10"/>
      <c r="M489" s="10"/>
      <c r="N489" s="10"/>
    </row>
    <row r="490" spans="11:14" ht="13" x14ac:dyDescent="0.15">
      <c r="K490" s="10"/>
      <c r="L490" s="10"/>
      <c r="M490" s="10"/>
      <c r="N490" s="10"/>
    </row>
    <row r="491" spans="11:14" ht="13" x14ac:dyDescent="0.15">
      <c r="K491" s="10"/>
      <c r="L491" s="10"/>
      <c r="M491" s="10"/>
      <c r="N491" s="10"/>
    </row>
    <row r="492" spans="11:14" ht="13" x14ac:dyDescent="0.15">
      <c r="K492" s="10"/>
      <c r="L492" s="10"/>
      <c r="M492" s="10"/>
      <c r="N492" s="10"/>
    </row>
    <row r="493" spans="11:14" ht="13" x14ac:dyDescent="0.15">
      <c r="K493" s="10"/>
      <c r="L493" s="10"/>
      <c r="M493" s="10"/>
      <c r="N493" s="10"/>
    </row>
    <row r="494" spans="11:14" ht="13" x14ac:dyDescent="0.15">
      <c r="K494" s="10"/>
      <c r="L494" s="10"/>
      <c r="M494" s="10"/>
      <c r="N494" s="10"/>
    </row>
    <row r="495" spans="11:14" ht="13" x14ac:dyDescent="0.15">
      <c r="K495" s="10"/>
      <c r="L495" s="10"/>
      <c r="M495" s="10"/>
      <c r="N495" s="10"/>
    </row>
    <row r="496" spans="11:14" ht="13" x14ac:dyDescent="0.15">
      <c r="K496" s="10"/>
      <c r="L496" s="10"/>
      <c r="M496" s="10"/>
      <c r="N496" s="10"/>
    </row>
    <row r="497" spans="11:14" ht="13" x14ac:dyDescent="0.15">
      <c r="K497" s="10"/>
      <c r="L497" s="10"/>
      <c r="M497" s="10"/>
      <c r="N497" s="10"/>
    </row>
    <row r="498" spans="11:14" ht="13" x14ac:dyDescent="0.15">
      <c r="K498" s="10"/>
      <c r="L498" s="10"/>
      <c r="M498" s="10"/>
      <c r="N498" s="10"/>
    </row>
    <row r="499" spans="11:14" ht="13" x14ac:dyDescent="0.15">
      <c r="K499" s="10"/>
      <c r="L499" s="10"/>
      <c r="M499" s="10"/>
      <c r="N499" s="10"/>
    </row>
    <row r="500" spans="11:14" ht="13" x14ac:dyDescent="0.15">
      <c r="K500" s="10"/>
      <c r="L500" s="10"/>
      <c r="M500" s="10"/>
      <c r="N500" s="10"/>
    </row>
    <row r="501" spans="11:14" ht="13" x14ac:dyDescent="0.15">
      <c r="K501" s="10"/>
      <c r="L501" s="10"/>
      <c r="M501" s="10"/>
      <c r="N501" s="10"/>
    </row>
    <row r="502" spans="11:14" ht="13" x14ac:dyDescent="0.15">
      <c r="K502" s="10"/>
      <c r="L502" s="10"/>
      <c r="M502" s="10"/>
      <c r="N502" s="10"/>
    </row>
    <row r="503" spans="11:14" ht="13" x14ac:dyDescent="0.15">
      <c r="K503" s="10"/>
      <c r="L503" s="10"/>
      <c r="M503" s="10"/>
      <c r="N503" s="10"/>
    </row>
    <row r="504" spans="11:14" ht="13" x14ac:dyDescent="0.15">
      <c r="K504" s="10"/>
      <c r="L504" s="10"/>
      <c r="M504" s="10"/>
      <c r="N504" s="10"/>
    </row>
    <row r="505" spans="11:14" ht="13" x14ac:dyDescent="0.15">
      <c r="K505" s="10"/>
      <c r="L505" s="10"/>
      <c r="M505" s="10"/>
      <c r="N505" s="10"/>
    </row>
    <row r="506" spans="11:14" ht="13" x14ac:dyDescent="0.15">
      <c r="K506" s="10"/>
      <c r="L506" s="10"/>
      <c r="M506" s="10"/>
      <c r="N506" s="10"/>
    </row>
    <row r="507" spans="11:14" ht="13" x14ac:dyDescent="0.15">
      <c r="K507" s="10"/>
      <c r="L507" s="10"/>
      <c r="M507" s="10"/>
      <c r="N507" s="10"/>
    </row>
    <row r="508" spans="11:14" ht="13" x14ac:dyDescent="0.15">
      <c r="K508" s="10"/>
      <c r="L508" s="10"/>
      <c r="M508" s="10"/>
      <c r="N508" s="10"/>
    </row>
    <row r="509" spans="11:14" ht="13" x14ac:dyDescent="0.15">
      <c r="K509" s="10"/>
      <c r="L509" s="10"/>
      <c r="M509" s="10"/>
      <c r="N509" s="10"/>
    </row>
    <row r="510" spans="11:14" ht="13" x14ac:dyDescent="0.15">
      <c r="K510" s="10"/>
      <c r="L510" s="10"/>
      <c r="M510" s="10"/>
      <c r="N510" s="10"/>
    </row>
    <row r="511" spans="11:14" ht="13" x14ac:dyDescent="0.15">
      <c r="K511" s="10"/>
      <c r="L511" s="10"/>
      <c r="M511" s="10"/>
      <c r="N511" s="10"/>
    </row>
    <row r="512" spans="11:14" ht="13" x14ac:dyDescent="0.15">
      <c r="K512" s="10"/>
      <c r="L512" s="10"/>
      <c r="M512" s="10"/>
      <c r="N512" s="10"/>
    </row>
    <row r="513" spans="11:14" ht="13" x14ac:dyDescent="0.15">
      <c r="K513" s="10"/>
      <c r="L513" s="10"/>
      <c r="M513" s="10"/>
      <c r="N513" s="10"/>
    </row>
    <row r="514" spans="11:14" ht="13" x14ac:dyDescent="0.15">
      <c r="K514" s="10"/>
      <c r="L514" s="10"/>
      <c r="M514" s="10"/>
      <c r="N514" s="10"/>
    </row>
    <row r="515" spans="11:14" ht="13" x14ac:dyDescent="0.15">
      <c r="K515" s="10"/>
      <c r="L515" s="10"/>
      <c r="M515" s="10"/>
      <c r="N515" s="10"/>
    </row>
    <row r="516" spans="11:14" ht="13" x14ac:dyDescent="0.15">
      <c r="K516" s="10"/>
      <c r="L516" s="10"/>
      <c r="M516" s="10"/>
      <c r="N516" s="10"/>
    </row>
    <row r="517" spans="11:14" ht="13" x14ac:dyDescent="0.15">
      <c r="K517" s="10"/>
      <c r="L517" s="10"/>
      <c r="M517" s="10"/>
      <c r="N517" s="10"/>
    </row>
    <row r="518" spans="11:14" ht="13" x14ac:dyDescent="0.15">
      <c r="K518" s="10"/>
      <c r="L518" s="10"/>
      <c r="M518" s="10"/>
      <c r="N518" s="10"/>
    </row>
    <row r="519" spans="11:14" ht="13" x14ac:dyDescent="0.15">
      <c r="K519" s="10"/>
      <c r="L519" s="10"/>
      <c r="M519" s="10"/>
      <c r="N519" s="10"/>
    </row>
    <row r="520" spans="11:14" ht="13" x14ac:dyDescent="0.15">
      <c r="K520" s="10"/>
      <c r="L520" s="10"/>
      <c r="M520" s="10"/>
      <c r="N520" s="10"/>
    </row>
    <row r="521" spans="11:14" ht="13" x14ac:dyDescent="0.15">
      <c r="K521" s="10"/>
      <c r="L521" s="10"/>
      <c r="M521" s="10"/>
      <c r="N521" s="10"/>
    </row>
    <row r="522" spans="11:14" ht="13" x14ac:dyDescent="0.15">
      <c r="K522" s="10"/>
      <c r="L522" s="10"/>
      <c r="M522" s="10"/>
      <c r="N522" s="10"/>
    </row>
    <row r="523" spans="11:14" ht="13" x14ac:dyDescent="0.15">
      <c r="K523" s="10"/>
      <c r="L523" s="10"/>
      <c r="M523" s="10"/>
      <c r="N523" s="10"/>
    </row>
    <row r="524" spans="11:14" ht="13" x14ac:dyDescent="0.15">
      <c r="K524" s="10"/>
      <c r="L524" s="10"/>
      <c r="M524" s="10"/>
      <c r="N524" s="10"/>
    </row>
    <row r="525" spans="11:14" ht="13" x14ac:dyDescent="0.15">
      <c r="K525" s="10"/>
      <c r="L525" s="10"/>
      <c r="M525" s="10"/>
      <c r="N525" s="10"/>
    </row>
    <row r="526" spans="11:14" ht="13" x14ac:dyDescent="0.15">
      <c r="K526" s="10"/>
      <c r="L526" s="10"/>
      <c r="M526" s="10"/>
      <c r="N526" s="10"/>
    </row>
    <row r="527" spans="11:14" ht="13" x14ac:dyDescent="0.15">
      <c r="K527" s="10"/>
      <c r="L527" s="10"/>
      <c r="M527" s="10"/>
      <c r="N527" s="10"/>
    </row>
    <row r="528" spans="11:14" ht="13" x14ac:dyDescent="0.15">
      <c r="K528" s="10"/>
      <c r="L528" s="10"/>
      <c r="M528" s="10"/>
      <c r="N528" s="10"/>
    </row>
    <row r="529" spans="11:14" ht="13" x14ac:dyDescent="0.15">
      <c r="K529" s="10"/>
      <c r="L529" s="10"/>
      <c r="M529" s="10"/>
      <c r="N529" s="10"/>
    </row>
    <row r="530" spans="11:14" ht="13" x14ac:dyDescent="0.15">
      <c r="K530" s="10"/>
      <c r="L530" s="10"/>
      <c r="M530" s="10"/>
      <c r="N530" s="10"/>
    </row>
    <row r="531" spans="11:14" ht="13" x14ac:dyDescent="0.15">
      <c r="K531" s="10"/>
      <c r="L531" s="10"/>
      <c r="M531" s="10"/>
      <c r="N531" s="10"/>
    </row>
    <row r="532" spans="11:14" ht="13" x14ac:dyDescent="0.15">
      <c r="K532" s="10"/>
      <c r="L532" s="10"/>
      <c r="M532" s="10"/>
      <c r="N532" s="10"/>
    </row>
    <row r="533" spans="11:14" ht="13" x14ac:dyDescent="0.15">
      <c r="K533" s="10"/>
      <c r="L533" s="10"/>
      <c r="M533" s="10"/>
      <c r="N533" s="10"/>
    </row>
    <row r="534" spans="11:14" ht="13" x14ac:dyDescent="0.15">
      <c r="K534" s="10"/>
      <c r="L534" s="10"/>
      <c r="M534" s="10"/>
      <c r="N534" s="10"/>
    </row>
    <row r="535" spans="11:14" ht="13" x14ac:dyDescent="0.15">
      <c r="K535" s="10"/>
      <c r="L535" s="10"/>
      <c r="M535" s="10"/>
      <c r="N535" s="10"/>
    </row>
    <row r="536" spans="11:14" ht="13" x14ac:dyDescent="0.15">
      <c r="K536" s="10"/>
      <c r="L536" s="10"/>
      <c r="M536" s="10"/>
      <c r="N536" s="10"/>
    </row>
    <row r="537" spans="11:14" ht="13" x14ac:dyDescent="0.15">
      <c r="K537" s="10"/>
      <c r="L537" s="10"/>
      <c r="M537" s="10"/>
      <c r="N537" s="10"/>
    </row>
    <row r="538" spans="11:14" ht="13" x14ac:dyDescent="0.15">
      <c r="K538" s="10"/>
      <c r="L538" s="10"/>
      <c r="M538" s="10"/>
      <c r="N538" s="10"/>
    </row>
    <row r="539" spans="11:14" ht="13" x14ac:dyDescent="0.15">
      <c r="K539" s="10"/>
      <c r="L539" s="10"/>
      <c r="M539" s="10"/>
      <c r="N539" s="10"/>
    </row>
    <row r="540" spans="11:14" ht="13" x14ac:dyDescent="0.15">
      <c r="K540" s="10"/>
      <c r="L540" s="10"/>
      <c r="M540" s="10"/>
      <c r="N540" s="10"/>
    </row>
    <row r="541" spans="11:14" ht="13" x14ac:dyDescent="0.15">
      <c r="K541" s="10"/>
      <c r="L541" s="10"/>
      <c r="M541" s="10"/>
      <c r="N541" s="10"/>
    </row>
    <row r="542" spans="11:14" ht="13" x14ac:dyDescent="0.15">
      <c r="K542" s="10"/>
      <c r="L542" s="10"/>
      <c r="M542" s="10"/>
      <c r="N542" s="10"/>
    </row>
    <row r="543" spans="11:14" ht="13" x14ac:dyDescent="0.15">
      <c r="K543" s="10"/>
      <c r="L543" s="10"/>
      <c r="M543" s="10"/>
      <c r="N543" s="10"/>
    </row>
    <row r="544" spans="11:14" ht="13" x14ac:dyDescent="0.15">
      <c r="K544" s="10"/>
      <c r="L544" s="10"/>
      <c r="M544" s="10"/>
      <c r="N544" s="10"/>
    </row>
    <row r="545" spans="11:14" ht="13" x14ac:dyDescent="0.15">
      <c r="K545" s="10"/>
      <c r="L545" s="10"/>
      <c r="M545" s="10"/>
      <c r="N545" s="10"/>
    </row>
    <row r="546" spans="11:14" ht="13" x14ac:dyDescent="0.15">
      <c r="K546" s="10"/>
      <c r="L546" s="10"/>
      <c r="M546" s="10"/>
      <c r="N546" s="10"/>
    </row>
    <row r="547" spans="11:14" ht="13" x14ac:dyDescent="0.15">
      <c r="K547" s="10"/>
      <c r="L547" s="10"/>
      <c r="M547" s="10"/>
      <c r="N547" s="10"/>
    </row>
    <row r="548" spans="11:14" ht="13" x14ac:dyDescent="0.15">
      <c r="K548" s="10"/>
      <c r="L548" s="10"/>
      <c r="M548" s="10"/>
      <c r="N548" s="10"/>
    </row>
    <row r="549" spans="11:14" ht="13" x14ac:dyDescent="0.15">
      <c r="K549" s="10"/>
      <c r="L549" s="10"/>
      <c r="M549" s="10"/>
      <c r="N549" s="10"/>
    </row>
    <row r="550" spans="11:14" ht="13" x14ac:dyDescent="0.15">
      <c r="K550" s="10"/>
      <c r="L550" s="10"/>
      <c r="M550" s="10"/>
      <c r="N550" s="10"/>
    </row>
    <row r="551" spans="11:14" ht="13" x14ac:dyDescent="0.15">
      <c r="K551" s="10"/>
      <c r="L551" s="10"/>
      <c r="M551" s="10"/>
      <c r="N551" s="10"/>
    </row>
    <row r="552" spans="11:14" ht="13" x14ac:dyDescent="0.15">
      <c r="K552" s="10"/>
      <c r="L552" s="10"/>
      <c r="M552" s="10"/>
      <c r="N552" s="10"/>
    </row>
    <row r="553" spans="11:14" ht="13" x14ac:dyDescent="0.15">
      <c r="K553" s="10"/>
      <c r="L553" s="10"/>
      <c r="M553" s="10"/>
      <c r="N553" s="10"/>
    </row>
    <row r="554" spans="11:14" ht="13" x14ac:dyDescent="0.15">
      <c r="K554" s="10"/>
      <c r="L554" s="10"/>
      <c r="M554" s="10"/>
      <c r="N554" s="10"/>
    </row>
    <row r="555" spans="11:14" ht="13" x14ac:dyDescent="0.15">
      <c r="K555" s="10"/>
      <c r="L555" s="10"/>
      <c r="M555" s="10"/>
      <c r="N555" s="10"/>
    </row>
    <row r="556" spans="11:14" ht="13" x14ac:dyDescent="0.15">
      <c r="K556" s="10"/>
      <c r="L556" s="10"/>
      <c r="M556" s="10"/>
      <c r="N556" s="10"/>
    </row>
    <row r="557" spans="11:14" ht="13" x14ac:dyDescent="0.15">
      <c r="K557" s="10"/>
      <c r="L557" s="10"/>
      <c r="M557" s="10"/>
      <c r="N557" s="10"/>
    </row>
    <row r="558" spans="11:14" ht="13" x14ac:dyDescent="0.15">
      <c r="K558" s="10"/>
      <c r="L558" s="10"/>
      <c r="M558" s="10"/>
      <c r="N558" s="10"/>
    </row>
    <row r="559" spans="11:14" ht="13" x14ac:dyDescent="0.15">
      <c r="K559" s="10"/>
      <c r="L559" s="10"/>
      <c r="M559" s="10"/>
      <c r="N559" s="10"/>
    </row>
    <row r="560" spans="11:14" ht="13" x14ac:dyDescent="0.15">
      <c r="K560" s="10"/>
      <c r="L560" s="10"/>
      <c r="M560" s="10"/>
      <c r="N560" s="10"/>
    </row>
    <row r="561" spans="11:14" ht="13" x14ac:dyDescent="0.15">
      <c r="K561" s="10"/>
      <c r="L561" s="10"/>
      <c r="M561" s="10"/>
      <c r="N561" s="10"/>
    </row>
    <row r="562" spans="11:14" ht="13" x14ac:dyDescent="0.15">
      <c r="K562" s="10"/>
      <c r="L562" s="10"/>
      <c r="M562" s="10"/>
      <c r="N562" s="10"/>
    </row>
    <row r="563" spans="11:14" ht="13" x14ac:dyDescent="0.15">
      <c r="K563" s="10"/>
      <c r="L563" s="10"/>
      <c r="M563" s="10"/>
      <c r="N563" s="10"/>
    </row>
    <row r="564" spans="11:14" ht="13" x14ac:dyDescent="0.15">
      <c r="K564" s="10"/>
      <c r="L564" s="10"/>
      <c r="M564" s="10"/>
      <c r="N564" s="10"/>
    </row>
    <row r="565" spans="11:14" ht="13" x14ac:dyDescent="0.15">
      <c r="K565" s="10"/>
      <c r="L565" s="10"/>
      <c r="M565" s="10"/>
      <c r="N565" s="10"/>
    </row>
    <row r="566" spans="11:14" ht="13" x14ac:dyDescent="0.15">
      <c r="K566" s="10"/>
      <c r="L566" s="10"/>
      <c r="M566" s="10"/>
      <c r="N566" s="10"/>
    </row>
    <row r="567" spans="11:14" ht="13" x14ac:dyDescent="0.15">
      <c r="K567" s="10"/>
      <c r="L567" s="10"/>
      <c r="M567" s="10"/>
      <c r="N567" s="10"/>
    </row>
    <row r="568" spans="11:14" ht="13" x14ac:dyDescent="0.15">
      <c r="K568" s="10"/>
      <c r="L568" s="10"/>
      <c r="M568" s="10"/>
      <c r="N568" s="10"/>
    </row>
    <row r="569" spans="11:14" ht="13" x14ac:dyDescent="0.15">
      <c r="K569" s="10"/>
      <c r="L569" s="10"/>
      <c r="M569" s="10"/>
      <c r="N569" s="10"/>
    </row>
    <row r="570" spans="11:14" ht="13" x14ac:dyDescent="0.15">
      <c r="K570" s="10"/>
      <c r="L570" s="10"/>
      <c r="M570" s="10"/>
      <c r="N570" s="10"/>
    </row>
    <row r="571" spans="11:14" ht="13" x14ac:dyDescent="0.15">
      <c r="K571" s="10"/>
      <c r="L571" s="10"/>
      <c r="M571" s="10"/>
      <c r="N571" s="10"/>
    </row>
    <row r="572" spans="11:14" ht="13" x14ac:dyDescent="0.15">
      <c r="K572" s="10"/>
      <c r="L572" s="10"/>
      <c r="M572" s="10"/>
      <c r="N572" s="10"/>
    </row>
    <row r="573" spans="11:14" ht="13" x14ac:dyDescent="0.15">
      <c r="K573" s="10"/>
      <c r="L573" s="10"/>
      <c r="M573" s="10"/>
      <c r="N573" s="10"/>
    </row>
    <row r="574" spans="11:14" ht="13" x14ac:dyDescent="0.15">
      <c r="K574" s="10"/>
      <c r="L574" s="10"/>
      <c r="M574" s="10"/>
      <c r="N574" s="10"/>
    </row>
    <row r="575" spans="11:14" ht="13" x14ac:dyDescent="0.15">
      <c r="K575" s="10"/>
      <c r="L575" s="10"/>
      <c r="M575" s="10"/>
      <c r="N575" s="10"/>
    </row>
    <row r="576" spans="11:14" ht="13" x14ac:dyDescent="0.15">
      <c r="K576" s="10"/>
      <c r="L576" s="10"/>
      <c r="M576" s="10"/>
      <c r="N576" s="10"/>
    </row>
    <row r="577" spans="11:14" ht="13" x14ac:dyDescent="0.15">
      <c r="K577" s="10"/>
      <c r="L577" s="10"/>
      <c r="M577" s="10"/>
      <c r="N577" s="10"/>
    </row>
    <row r="578" spans="11:14" ht="13" x14ac:dyDescent="0.15">
      <c r="K578" s="10"/>
      <c r="L578" s="10"/>
      <c r="M578" s="10"/>
      <c r="N578" s="10"/>
    </row>
    <row r="579" spans="11:14" ht="13" x14ac:dyDescent="0.15">
      <c r="K579" s="10"/>
      <c r="L579" s="10"/>
      <c r="M579" s="10"/>
      <c r="N579" s="10"/>
    </row>
    <row r="580" spans="11:14" ht="13" x14ac:dyDescent="0.15">
      <c r="K580" s="10"/>
      <c r="L580" s="10"/>
      <c r="M580" s="10"/>
      <c r="N580" s="10"/>
    </row>
    <row r="581" spans="11:14" ht="13" x14ac:dyDescent="0.15">
      <c r="K581" s="10"/>
      <c r="L581" s="10"/>
      <c r="M581" s="10"/>
      <c r="N581" s="10"/>
    </row>
    <row r="582" spans="11:14" ht="13" x14ac:dyDescent="0.15">
      <c r="K582" s="10"/>
      <c r="L582" s="10"/>
      <c r="M582" s="10"/>
      <c r="N582" s="10"/>
    </row>
    <row r="583" spans="11:14" ht="13" x14ac:dyDescent="0.15">
      <c r="K583" s="10"/>
      <c r="L583" s="10"/>
      <c r="M583" s="10"/>
      <c r="N583" s="10"/>
    </row>
    <row r="584" spans="11:14" ht="13" x14ac:dyDescent="0.15">
      <c r="K584" s="10"/>
      <c r="L584" s="10"/>
      <c r="M584" s="10"/>
      <c r="N584" s="10"/>
    </row>
    <row r="585" spans="11:14" ht="13" x14ac:dyDescent="0.15">
      <c r="K585" s="10"/>
      <c r="L585" s="10"/>
      <c r="M585" s="10"/>
      <c r="N585" s="10"/>
    </row>
    <row r="586" spans="11:14" ht="13" x14ac:dyDescent="0.15">
      <c r="K586" s="10"/>
      <c r="L586" s="10"/>
      <c r="M586" s="10"/>
      <c r="N586" s="10"/>
    </row>
    <row r="587" spans="11:14" ht="13" x14ac:dyDescent="0.15">
      <c r="K587" s="10"/>
      <c r="L587" s="10"/>
      <c r="M587" s="10"/>
      <c r="N587" s="10"/>
    </row>
    <row r="588" spans="11:14" ht="13" x14ac:dyDescent="0.15">
      <c r="K588" s="10"/>
      <c r="L588" s="10"/>
      <c r="M588" s="10"/>
      <c r="N588" s="10"/>
    </row>
    <row r="589" spans="11:14" ht="13" x14ac:dyDescent="0.15">
      <c r="K589" s="10"/>
      <c r="L589" s="10"/>
      <c r="M589" s="10"/>
      <c r="N589" s="10"/>
    </row>
    <row r="590" spans="11:14" ht="13" x14ac:dyDescent="0.15">
      <c r="K590" s="10"/>
      <c r="L590" s="10"/>
      <c r="M590" s="10"/>
      <c r="N590" s="10"/>
    </row>
    <row r="591" spans="11:14" ht="13" x14ac:dyDescent="0.15">
      <c r="K591" s="10"/>
      <c r="L591" s="10"/>
      <c r="M591" s="10"/>
      <c r="N591" s="10"/>
    </row>
    <row r="592" spans="11:14" ht="13" x14ac:dyDescent="0.15">
      <c r="K592" s="10"/>
      <c r="L592" s="10"/>
      <c r="M592" s="10"/>
      <c r="N592" s="10"/>
    </row>
    <row r="593" spans="11:14" ht="13" x14ac:dyDescent="0.15">
      <c r="K593" s="10"/>
      <c r="L593" s="10"/>
      <c r="M593" s="10"/>
      <c r="N593" s="10"/>
    </row>
    <row r="594" spans="11:14" ht="13" x14ac:dyDescent="0.15">
      <c r="K594" s="10"/>
      <c r="L594" s="10"/>
      <c r="M594" s="10"/>
      <c r="N594" s="10"/>
    </row>
    <row r="595" spans="11:14" ht="13" x14ac:dyDescent="0.15">
      <c r="K595" s="10"/>
      <c r="L595" s="10"/>
      <c r="M595" s="10"/>
      <c r="N595" s="10"/>
    </row>
    <row r="596" spans="11:14" ht="13" x14ac:dyDescent="0.15">
      <c r="K596" s="10"/>
      <c r="L596" s="10"/>
      <c r="M596" s="10"/>
      <c r="N596" s="10"/>
    </row>
    <row r="597" spans="11:14" ht="13" x14ac:dyDescent="0.15">
      <c r="K597" s="10"/>
      <c r="L597" s="10"/>
      <c r="M597" s="10"/>
      <c r="N597" s="10"/>
    </row>
    <row r="598" spans="11:14" ht="13" x14ac:dyDescent="0.15">
      <c r="K598" s="10"/>
      <c r="L598" s="10"/>
      <c r="M598" s="10"/>
      <c r="N598" s="10"/>
    </row>
    <row r="599" spans="11:14" ht="13" x14ac:dyDescent="0.15">
      <c r="K599" s="10"/>
      <c r="L599" s="10"/>
      <c r="M599" s="10"/>
      <c r="N599" s="10"/>
    </row>
    <row r="600" spans="11:14" ht="13" x14ac:dyDescent="0.15">
      <c r="K600" s="10"/>
      <c r="L600" s="10"/>
      <c r="M600" s="10"/>
      <c r="N600" s="10"/>
    </row>
    <row r="601" spans="11:14" ht="13" x14ac:dyDescent="0.15">
      <c r="K601" s="10"/>
      <c r="L601" s="10"/>
      <c r="M601" s="10"/>
      <c r="N601" s="10"/>
    </row>
    <row r="602" spans="11:14" ht="13" x14ac:dyDescent="0.15">
      <c r="K602" s="10"/>
      <c r="L602" s="10"/>
      <c r="M602" s="10"/>
      <c r="N602" s="10"/>
    </row>
    <row r="603" spans="11:14" ht="13" x14ac:dyDescent="0.15">
      <c r="K603" s="10"/>
      <c r="L603" s="10"/>
      <c r="M603" s="10"/>
      <c r="N603" s="10"/>
    </row>
    <row r="604" spans="11:14" ht="13" x14ac:dyDescent="0.15">
      <c r="K604" s="10"/>
      <c r="L604" s="10"/>
      <c r="M604" s="10"/>
      <c r="N604" s="10"/>
    </row>
    <row r="605" spans="11:14" ht="13" x14ac:dyDescent="0.15">
      <c r="K605" s="10"/>
      <c r="L605" s="10"/>
      <c r="M605" s="10"/>
      <c r="N605" s="10"/>
    </row>
    <row r="606" spans="11:14" ht="13" x14ac:dyDescent="0.15">
      <c r="K606" s="10"/>
      <c r="L606" s="10"/>
      <c r="M606" s="10"/>
      <c r="N606" s="10"/>
    </row>
    <row r="607" spans="11:14" ht="13" x14ac:dyDescent="0.15">
      <c r="K607" s="10"/>
      <c r="L607" s="10"/>
      <c r="M607" s="10"/>
      <c r="N607" s="10"/>
    </row>
    <row r="608" spans="11:14" ht="13" x14ac:dyDescent="0.15">
      <c r="K608" s="10"/>
      <c r="L608" s="10"/>
      <c r="M608" s="10"/>
      <c r="N608" s="10"/>
    </row>
    <row r="609" spans="11:14" ht="13" x14ac:dyDescent="0.15">
      <c r="K609" s="10"/>
      <c r="L609" s="10"/>
      <c r="M609" s="10"/>
      <c r="N609" s="10"/>
    </row>
    <row r="610" spans="11:14" ht="13" x14ac:dyDescent="0.15">
      <c r="K610" s="10"/>
      <c r="L610" s="10"/>
      <c r="M610" s="10"/>
      <c r="N610" s="10"/>
    </row>
    <row r="611" spans="11:14" ht="13" x14ac:dyDescent="0.15">
      <c r="K611" s="10"/>
      <c r="L611" s="10"/>
      <c r="M611" s="10"/>
      <c r="N611" s="10"/>
    </row>
    <row r="612" spans="11:14" ht="13" x14ac:dyDescent="0.15">
      <c r="K612" s="10"/>
      <c r="L612" s="10"/>
      <c r="M612" s="10"/>
      <c r="N612" s="10"/>
    </row>
    <row r="613" spans="11:14" ht="13" x14ac:dyDescent="0.15">
      <c r="K613" s="10"/>
      <c r="L613" s="10"/>
      <c r="M613" s="10"/>
      <c r="N613" s="10"/>
    </row>
    <row r="614" spans="11:14" ht="13" x14ac:dyDescent="0.15">
      <c r="K614" s="10"/>
      <c r="L614" s="10"/>
      <c r="M614" s="10"/>
      <c r="N614" s="10"/>
    </row>
    <row r="615" spans="11:14" ht="13" x14ac:dyDescent="0.15">
      <c r="K615" s="10"/>
      <c r="L615" s="10"/>
      <c r="M615" s="10"/>
      <c r="N615" s="10"/>
    </row>
    <row r="616" spans="11:14" ht="13" x14ac:dyDescent="0.15">
      <c r="K616" s="10"/>
      <c r="L616" s="10"/>
      <c r="M616" s="10"/>
      <c r="N616" s="10"/>
    </row>
    <row r="617" spans="11:14" ht="13" x14ac:dyDescent="0.15">
      <c r="K617" s="10"/>
      <c r="L617" s="10"/>
      <c r="M617" s="10"/>
      <c r="N617" s="10"/>
    </row>
    <row r="618" spans="11:14" ht="13" x14ac:dyDescent="0.15">
      <c r="K618" s="10"/>
      <c r="L618" s="10"/>
      <c r="M618" s="10"/>
      <c r="N618" s="10"/>
    </row>
    <row r="619" spans="11:14" ht="13" x14ac:dyDescent="0.15">
      <c r="K619" s="10"/>
      <c r="L619" s="10"/>
      <c r="M619" s="10"/>
      <c r="N619" s="10"/>
    </row>
    <row r="620" spans="11:14" ht="13" x14ac:dyDescent="0.15">
      <c r="K620" s="10"/>
      <c r="L620" s="10"/>
      <c r="M620" s="10"/>
      <c r="N620" s="10"/>
    </row>
    <row r="621" spans="11:14" ht="13" x14ac:dyDescent="0.15">
      <c r="K621" s="10"/>
      <c r="L621" s="10"/>
      <c r="M621" s="10"/>
      <c r="N621" s="10"/>
    </row>
    <row r="622" spans="11:14" ht="13" x14ac:dyDescent="0.15">
      <c r="K622" s="10"/>
      <c r="L622" s="10"/>
      <c r="M622" s="10"/>
      <c r="N622" s="10"/>
    </row>
    <row r="623" spans="11:14" ht="13" x14ac:dyDescent="0.15">
      <c r="K623" s="10"/>
      <c r="L623" s="10"/>
      <c r="M623" s="10"/>
      <c r="N623" s="10"/>
    </row>
    <row r="624" spans="11:14" ht="13" x14ac:dyDescent="0.15">
      <c r="K624" s="10"/>
      <c r="L624" s="10"/>
      <c r="M624" s="10"/>
      <c r="N624" s="10"/>
    </row>
    <row r="625" spans="11:14" ht="13" x14ac:dyDescent="0.15">
      <c r="K625" s="10"/>
      <c r="L625" s="10"/>
      <c r="M625" s="10"/>
      <c r="N625" s="10"/>
    </row>
    <row r="626" spans="11:14" ht="13" x14ac:dyDescent="0.15">
      <c r="K626" s="10"/>
      <c r="L626" s="10"/>
      <c r="M626" s="10"/>
      <c r="N626" s="10"/>
    </row>
    <row r="627" spans="11:14" ht="13" x14ac:dyDescent="0.15">
      <c r="K627" s="10"/>
      <c r="L627" s="10"/>
      <c r="M627" s="10"/>
      <c r="N627" s="10"/>
    </row>
    <row r="628" spans="11:14" ht="13" x14ac:dyDescent="0.15">
      <c r="K628" s="10"/>
      <c r="L628" s="10"/>
      <c r="M628" s="10"/>
      <c r="N628" s="10"/>
    </row>
    <row r="629" spans="11:14" ht="13" x14ac:dyDescent="0.15">
      <c r="K629" s="10"/>
      <c r="L629" s="10"/>
      <c r="M629" s="10"/>
      <c r="N629" s="10"/>
    </row>
    <row r="630" spans="11:14" ht="13" x14ac:dyDescent="0.15">
      <c r="K630" s="10"/>
      <c r="L630" s="10"/>
      <c r="M630" s="10"/>
      <c r="N630" s="10"/>
    </row>
    <row r="631" spans="11:14" ht="13" x14ac:dyDescent="0.15">
      <c r="K631" s="10"/>
      <c r="L631" s="10"/>
      <c r="M631" s="10"/>
      <c r="N631" s="10"/>
    </row>
    <row r="632" spans="11:14" ht="13" x14ac:dyDescent="0.15">
      <c r="K632" s="10"/>
      <c r="L632" s="10"/>
      <c r="M632" s="10"/>
      <c r="N632" s="10"/>
    </row>
    <row r="633" spans="11:14" ht="13" x14ac:dyDescent="0.15">
      <c r="K633" s="10"/>
      <c r="L633" s="10"/>
      <c r="M633" s="10"/>
      <c r="N633" s="10"/>
    </row>
    <row r="634" spans="11:14" ht="13" x14ac:dyDescent="0.15">
      <c r="K634" s="10"/>
      <c r="L634" s="10"/>
      <c r="M634" s="10"/>
      <c r="N634" s="10"/>
    </row>
    <row r="635" spans="11:14" ht="13" x14ac:dyDescent="0.15">
      <c r="K635" s="10"/>
      <c r="L635" s="10"/>
      <c r="M635" s="10"/>
      <c r="N635" s="10"/>
    </row>
    <row r="636" spans="11:14" ht="13" x14ac:dyDescent="0.15">
      <c r="K636" s="10"/>
      <c r="L636" s="10"/>
      <c r="M636" s="10"/>
      <c r="N636" s="10"/>
    </row>
    <row r="637" spans="11:14" ht="13" x14ac:dyDescent="0.15">
      <c r="K637" s="10"/>
      <c r="L637" s="10"/>
      <c r="M637" s="10"/>
      <c r="N637" s="10"/>
    </row>
    <row r="638" spans="11:14" ht="13" x14ac:dyDescent="0.15">
      <c r="K638" s="10"/>
      <c r="L638" s="10"/>
      <c r="M638" s="10"/>
      <c r="N638" s="10"/>
    </row>
    <row r="639" spans="11:14" ht="13" x14ac:dyDescent="0.15">
      <c r="K639" s="10"/>
      <c r="L639" s="10"/>
      <c r="M639" s="10"/>
      <c r="N639" s="10"/>
    </row>
    <row r="640" spans="11:14" ht="13" x14ac:dyDescent="0.15">
      <c r="K640" s="10"/>
      <c r="L640" s="10"/>
      <c r="M640" s="10"/>
      <c r="N640" s="10"/>
    </row>
    <row r="641" spans="11:14" ht="13" x14ac:dyDescent="0.15">
      <c r="K641" s="10"/>
      <c r="L641" s="10"/>
      <c r="M641" s="10"/>
      <c r="N641" s="10"/>
    </row>
    <row r="642" spans="11:14" ht="13" x14ac:dyDescent="0.15">
      <c r="K642" s="10"/>
      <c r="L642" s="10"/>
      <c r="M642" s="10"/>
      <c r="N642" s="10"/>
    </row>
    <row r="643" spans="11:14" ht="13" x14ac:dyDescent="0.15">
      <c r="K643" s="10"/>
      <c r="L643" s="10"/>
      <c r="M643" s="10"/>
      <c r="N643" s="10"/>
    </row>
    <row r="644" spans="11:14" ht="13" x14ac:dyDescent="0.15">
      <c r="K644" s="10"/>
      <c r="L644" s="10"/>
      <c r="M644" s="10"/>
      <c r="N644" s="10"/>
    </row>
    <row r="645" spans="11:14" ht="13" x14ac:dyDescent="0.15">
      <c r="K645" s="10"/>
      <c r="L645" s="10"/>
      <c r="M645" s="10"/>
      <c r="N645" s="10"/>
    </row>
    <row r="646" spans="11:14" ht="13" x14ac:dyDescent="0.15">
      <c r="K646" s="10"/>
      <c r="L646" s="10"/>
      <c r="M646" s="10"/>
      <c r="N646" s="10"/>
    </row>
    <row r="647" spans="11:14" ht="13" x14ac:dyDescent="0.15">
      <c r="K647" s="10"/>
      <c r="L647" s="10"/>
      <c r="M647" s="10"/>
      <c r="N647" s="10"/>
    </row>
    <row r="648" spans="11:14" ht="13" x14ac:dyDescent="0.15">
      <c r="K648" s="10"/>
      <c r="L648" s="10"/>
      <c r="M648" s="10"/>
      <c r="N648" s="10"/>
    </row>
    <row r="649" spans="11:14" ht="13" x14ac:dyDescent="0.15">
      <c r="K649" s="10"/>
      <c r="L649" s="10"/>
      <c r="M649" s="10"/>
      <c r="N649" s="10"/>
    </row>
    <row r="650" spans="11:14" ht="13" x14ac:dyDescent="0.15">
      <c r="K650" s="10"/>
      <c r="L650" s="10"/>
      <c r="M650" s="10"/>
      <c r="N650" s="10"/>
    </row>
    <row r="651" spans="11:14" ht="13" x14ac:dyDescent="0.15">
      <c r="K651" s="10"/>
      <c r="L651" s="10"/>
      <c r="M651" s="10"/>
      <c r="N651" s="10"/>
    </row>
    <row r="652" spans="11:14" ht="13" x14ac:dyDescent="0.15">
      <c r="K652" s="10"/>
      <c r="L652" s="10"/>
      <c r="M652" s="10"/>
      <c r="N652" s="10"/>
    </row>
    <row r="653" spans="11:14" ht="13" x14ac:dyDescent="0.15">
      <c r="K653" s="10"/>
      <c r="L653" s="10"/>
      <c r="M653" s="10"/>
      <c r="N653" s="10"/>
    </row>
    <row r="654" spans="11:14" ht="13" x14ac:dyDescent="0.15">
      <c r="K654" s="10"/>
      <c r="L654" s="10"/>
      <c r="M654" s="10"/>
      <c r="N654" s="10"/>
    </row>
    <row r="655" spans="11:14" ht="13" x14ac:dyDescent="0.15">
      <c r="K655" s="10"/>
      <c r="L655" s="10"/>
      <c r="M655" s="10"/>
      <c r="N655" s="10"/>
    </row>
    <row r="656" spans="11:14" ht="13" x14ac:dyDescent="0.15">
      <c r="K656" s="10"/>
      <c r="L656" s="10"/>
      <c r="M656" s="10"/>
      <c r="N656" s="10"/>
    </row>
    <row r="657" spans="11:14" ht="13" x14ac:dyDescent="0.15">
      <c r="K657" s="10"/>
      <c r="L657" s="10"/>
      <c r="M657" s="10"/>
      <c r="N657" s="10"/>
    </row>
    <row r="658" spans="11:14" ht="13" x14ac:dyDescent="0.15">
      <c r="K658" s="10"/>
      <c r="L658" s="10"/>
      <c r="M658" s="10"/>
      <c r="N658" s="10"/>
    </row>
    <row r="659" spans="11:14" ht="13" x14ac:dyDescent="0.15">
      <c r="K659" s="10"/>
      <c r="L659" s="10"/>
      <c r="M659" s="10"/>
      <c r="N659" s="10"/>
    </row>
    <row r="660" spans="11:14" ht="13" x14ac:dyDescent="0.15">
      <c r="K660" s="10"/>
      <c r="L660" s="10"/>
      <c r="M660" s="10"/>
      <c r="N660" s="10"/>
    </row>
    <row r="661" spans="11:14" ht="13" x14ac:dyDescent="0.15">
      <c r="K661" s="10"/>
      <c r="L661" s="10"/>
      <c r="M661" s="10"/>
      <c r="N661" s="10"/>
    </row>
    <row r="662" spans="11:14" ht="13" x14ac:dyDescent="0.15">
      <c r="K662" s="10"/>
      <c r="L662" s="10"/>
      <c r="M662" s="10"/>
      <c r="N662" s="10"/>
    </row>
    <row r="663" spans="11:14" ht="13" x14ac:dyDescent="0.15">
      <c r="K663" s="10"/>
      <c r="L663" s="10"/>
      <c r="M663" s="10"/>
      <c r="N663" s="10"/>
    </row>
    <row r="664" spans="11:14" ht="13" x14ac:dyDescent="0.15">
      <c r="K664" s="10"/>
      <c r="L664" s="10"/>
      <c r="M664" s="10"/>
      <c r="N664" s="10"/>
    </row>
    <row r="665" spans="11:14" ht="13" x14ac:dyDescent="0.15">
      <c r="K665" s="10"/>
      <c r="L665" s="10"/>
      <c r="M665" s="10"/>
      <c r="N665" s="10"/>
    </row>
    <row r="666" spans="11:14" ht="13" x14ac:dyDescent="0.15">
      <c r="K666" s="10"/>
      <c r="L666" s="10"/>
      <c r="M666" s="10"/>
      <c r="N666" s="10"/>
    </row>
    <row r="667" spans="11:14" ht="13" x14ac:dyDescent="0.15">
      <c r="K667" s="10"/>
      <c r="L667" s="10"/>
      <c r="M667" s="10"/>
      <c r="N667" s="10"/>
    </row>
    <row r="668" spans="11:14" ht="13" x14ac:dyDescent="0.15">
      <c r="K668" s="10"/>
      <c r="L668" s="10"/>
      <c r="M668" s="10"/>
      <c r="N668" s="10"/>
    </row>
    <row r="669" spans="11:14" ht="13" x14ac:dyDescent="0.15">
      <c r="K669" s="10"/>
      <c r="L669" s="10"/>
      <c r="M669" s="10"/>
      <c r="N669" s="10"/>
    </row>
    <row r="670" spans="11:14" ht="13" x14ac:dyDescent="0.15">
      <c r="K670" s="10"/>
      <c r="L670" s="10"/>
      <c r="M670" s="10"/>
      <c r="N670" s="10"/>
    </row>
    <row r="671" spans="11:14" ht="13" x14ac:dyDescent="0.15">
      <c r="K671" s="10"/>
      <c r="L671" s="10"/>
      <c r="M671" s="10"/>
      <c r="N671" s="10"/>
    </row>
    <row r="672" spans="11:14" ht="13" x14ac:dyDescent="0.15">
      <c r="K672" s="10"/>
      <c r="L672" s="10"/>
      <c r="M672" s="10"/>
      <c r="N672" s="10"/>
    </row>
    <row r="673" spans="11:14" ht="13" x14ac:dyDescent="0.15">
      <c r="K673" s="10"/>
      <c r="L673" s="10"/>
      <c r="M673" s="10"/>
      <c r="N673" s="10"/>
    </row>
    <row r="674" spans="11:14" ht="13" x14ac:dyDescent="0.15">
      <c r="K674" s="10"/>
      <c r="L674" s="10"/>
      <c r="M674" s="10"/>
      <c r="N674" s="10"/>
    </row>
    <row r="675" spans="11:14" ht="13" x14ac:dyDescent="0.15">
      <c r="K675" s="10"/>
      <c r="L675" s="10"/>
      <c r="M675" s="10"/>
      <c r="N675" s="10"/>
    </row>
    <row r="676" spans="11:14" ht="13" x14ac:dyDescent="0.15">
      <c r="K676" s="10"/>
      <c r="L676" s="10"/>
      <c r="M676" s="10"/>
      <c r="N676" s="10"/>
    </row>
    <row r="677" spans="11:14" ht="13" x14ac:dyDescent="0.15">
      <c r="K677" s="10"/>
      <c r="L677" s="10"/>
      <c r="M677" s="10"/>
      <c r="N677" s="10"/>
    </row>
    <row r="678" spans="11:14" ht="13" x14ac:dyDescent="0.15">
      <c r="K678" s="10"/>
      <c r="L678" s="10"/>
      <c r="M678" s="10"/>
      <c r="N678" s="10"/>
    </row>
    <row r="679" spans="11:14" ht="13" x14ac:dyDescent="0.15">
      <c r="K679" s="10"/>
      <c r="L679" s="10"/>
      <c r="M679" s="10"/>
      <c r="N679" s="10"/>
    </row>
    <row r="680" spans="11:14" ht="13" x14ac:dyDescent="0.15">
      <c r="K680" s="10"/>
      <c r="L680" s="10"/>
      <c r="M680" s="10"/>
      <c r="N680" s="10"/>
    </row>
    <row r="681" spans="11:14" ht="13" x14ac:dyDescent="0.15">
      <c r="K681" s="10"/>
      <c r="L681" s="10"/>
      <c r="M681" s="10"/>
      <c r="N681" s="10"/>
    </row>
    <row r="682" spans="11:14" ht="13" x14ac:dyDescent="0.15">
      <c r="K682" s="10"/>
      <c r="L682" s="10"/>
      <c r="M682" s="10"/>
      <c r="N682" s="10"/>
    </row>
    <row r="683" spans="11:14" ht="13" x14ac:dyDescent="0.15">
      <c r="K683" s="10"/>
      <c r="L683" s="10"/>
      <c r="M683" s="10"/>
      <c r="N683" s="10"/>
    </row>
    <row r="684" spans="11:14" ht="13" x14ac:dyDescent="0.15">
      <c r="K684" s="10"/>
      <c r="L684" s="10"/>
      <c r="M684" s="10"/>
      <c r="N684" s="10"/>
    </row>
    <row r="685" spans="11:14" ht="13" x14ac:dyDescent="0.15">
      <c r="K685" s="10"/>
      <c r="L685" s="10"/>
      <c r="M685" s="10"/>
      <c r="N685" s="10"/>
    </row>
    <row r="686" spans="11:14" ht="13" x14ac:dyDescent="0.15">
      <c r="K686" s="10"/>
      <c r="L686" s="10"/>
      <c r="M686" s="10"/>
      <c r="N686" s="10"/>
    </row>
    <row r="687" spans="11:14" ht="13" x14ac:dyDescent="0.15">
      <c r="K687" s="10"/>
      <c r="L687" s="10"/>
      <c r="M687" s="10"/>
      <c r="N687" s="10"/>
    </row>
    <row r="688" spans="11:14" ht="13" x14ac:dyDescent="0.15">
      <c r="K688" s="10"/>
      <c r="L688" s="10"/>
      <c r="M688" s="10"/>
      <c r="N688" s="10"/>
    </row>
    <row r="689" spans="11:14" ht="13" x14ac:dyDescent="0.15">
      <c r="K689" s="10"/>
      <c r="L689" s="10"/>
      <c r="M689" s="10"/>
      <c r="N689" s="10"/>
    </row>
    <row r="690" spans="11:14" ht="13" x14ac:dyDescent="0.15">
      <c r="K690" s="10"/>
      <c r="L690" s="10"/>
      <c r="M690" s="10"/>
      <c r="N690" s="10"/>
    </row>
    <row r="691" spans="11:14" ht="13" x14ac:dyDescent="0.15">
      <c r="K691" s="10"/>
      <c r="L691" s="10"/>
      <c r="M691" s="10"/>
      <c r="N691" s="10"/>
    </row>
    <row r="692" spans="11:14" ht="13" x14ac:dyDescent="0.15">
      <c r="K692" s="10"/>
      <c r="L692" s="10"/>
      <c r="M692" s="10"/>
      <c r="N692" s="10"/>
    </row>
    <row r="693" spans="11:14" ht="13" x14ac:dyDescent="0.15">
      <c r="K693" s="10"/>
      <c r="L693" s="10"/>
      <c r="M693" s="10"/>
      <c r="N693" s="10"/>
    </row>
    <row r="694" spans="11:14" ht="13" x14ac:dyDescent="0.15">
      <c r="K694" s="10"/>
      <c r="L694" s="10"/>
      <c r="M694" s="10"/>
      <c r="N694" s="10"/>
    </row>
    <row r="695" spans="11:14" ht="13" x14ac:dyDescent="0.15">
      <c r="K695" s="10"/>
      <c r="L695" s="10"/>
      <c r="M695" s="10"/>
      <c r="N695" s="10"/>
    </row>
    <row r="696" spans="11:14" ht="13" x14ac:dyDescent="0.15">
      <c r="K696" s="10"/>
      <c r="L696" s="10"/>
      <c r="M696" s="10"/>
      <c r="N696" s="10"/>
    </row>
    <row r="697" spans="11:14" ht="13" x14ac:dyDescent="0.15">
      <c r="K697" s="10"/>
      <c r="L697" s="10"/>
      <c r="M697" s="10"/>
      <c r="N697" s="10"/>
    </row>
    <row r="698" spans="11:14" ht="13" x14ac:dyDescent="0.15">
      <c r="K698" s="10"/>
      <c r="L698" s="10"/>
      <c r="M698" s="10"/>
      <c r="N698" s="10"/>
    </row>
    <row r="699" spans="11:14" ht="13" x14ac:dyDescent="0.15">
      <c r="K699" s="10"/>
      <c r="L699" s="10"/>
      <c r="M699" s="10"/>
      <c r="N699" s="10"/>
    </row>
    <row r="700" spans="11:14" ht="13" x14ac:dyDescent="0.15">
      <c r="K700" s="10"/>
      <c r="L700" s="10"/>
      <c r="M700" s="10"/>
      <c r="N700" s="10"/>
    </row>
    <row r="701" spans="11:14" ht="13" x14ac:dyDescent="0.15">
      <c r="K701" s="10"/>
      <c r="L701" s="10"/>
      <c r="M701" s="10"/>
      <c r="N701" s="10"/>
    </row>
    <row r="702" spans="11:14" ht="13" x14ac:dyDescent="0.15">
      <c r="K702" s="10"/>
      <c r="L702" s="10"/>
      <c r="M702" s="10"/>
      <c r="N702" s="10"/>
    </row>
    <row r="703" spans="11:14" ht="13" x14ac:dyDescent="0.15">
      <c r="K703" s="10"/>
      <c r="L703" s="10"/>
      <c r="M703" s="10"/>
      <c r="N703" s="10"/>
    </row>
    <row r="704" spans="11:14" ht="13" x14ac:dyDescent="0.15">
      <c r="K704" s="10"/>
      <c r="L704" s="10"/>
      <c r="M704" s="10"/>
      <c r="N704" s="10"/>
    </row>
    <row r="705" spans="11:14" ht="13" x14ac:dyDescent="0.15">
      <c r="K705" s="10"/>
      <c r="L705" s="10"/>
      <c r="M705" s="10"/>
      <c r="N705" s="10"/>
    </row>
    <row r="706" spans="11:14" ht="13" x14ac:dyDescent="0.15">
      <c r="K706" s="10"/>
      <c r="L706" s="10"/>
      <c r="M706" s="10"/>
      <c r="N706" s="10"/>
    </row>
    <row r="707" spans="11:14" ht="13" x14ac:dyDescent="0.15">
      <c r="K707" s="10"/>
      <c r="L707" s="10"/>
      <c r="M707" s="10"/>
      <c r="N707" s="10"/>
    </row>
    <row r="708" spans="11:14" ht="13" x14ac:dyDescent="0.15">
      <c r="K708" s="10"/>
      <c r="L708" s="10"/>
      <c r="M708" s="10"/>
      <c r="N708" s="10"/>
    </row>
    <row r="709" spans="11:14" ht="13" x14ac:dyDescent="0.15">
      <c r="K709" s="10"/>
      <c r="L709" s="10"/>
      <c r="M709" s="10"/>
      <c r="N709" s="10"/>
    </row>
    <row r="710" spans="11:14" ht="13" x14ac:dyDescent="0.15">
      <c r="K710" s="10"/>
      <c r="L710" s="10"/>
      <c r="M710" s="10"/>
      <c r="N710" s="10"/>
    </row>
    <row r="711" spans="11:14" ht="13" x14ac:dyDescent="0.15">
      <c r="K711" s="10"/>
      <c r="L711" s="10"/>
      <c r="M711" s="10"/>
      <c r="N711" s="10"/>
    </row>
    <row r="712" spans="11:14" ht="13" x14ac:dyDescent="0.15">
      <c r="K712" s="10"/>
      <c r="L712" s="10"/>
      <c r="M712" s="10"/>
      <c r="N712" s="10"/>
    </row>
    <row r="713" spans="11:14" ht="13" x14ac:dyDescent="0.15">
      <c r="K713" s="10"/>
      <c r="L713" s="10"/>
      <c r="M713" s="10"/>
      <c r="N713" s="10"/>
    </row>
    <row r="714" spans="11:14" ht="13" x14ac:dyDescent="0.15">
      <c r="K714" s="10"/>
      <c r="L714" s="10"/>
      <c r="M714" s="10"/>
      <c r="N714" s="10"/>
    </row>
    <row r="715" spans="11:14" ht="13" x14ac:dyDescent="0.15">
      <c r="K715" s="10"/>
      <c r="L715" s="10"/>
      <c r="M715" s="10"/>
      <c r="N715" s="10"/>
    </row>
    <row r="716" spans="11:14" ht="13" x14ac:dyDescent="0.15">
      <c r="K716" s="10"/>
      <c r="L716" s="10"/>
      <c r="M716" s="10"/>
      <c r="N716" s="10"/>
    </row>
    <row r="717" spans="11:14" ht="13" x14ac:dyDescent="0.15">
      <c r="K717" s="10"/>
      <c r="L717" s="10"/>
      <c r="M717" s="10"/>
      <c r="N717" s="10"/>
    </row>
    <row r="718" spans="11:14" ht="13" x14ac:dyDescent="0.15">
      <c r="K718" s="10"/>
      <c r="L718" s="10"/>
      <c r="M718" s="10"/>
      <c r="N718" s="10"/>
    </row>
    <row r="719" spans="11:14" ht="13" x14ac:dyDescent="0.15">
      <c r="K719" s="10"/>
      <c r="L719" s="10"/>
      <c r="M719" s="10"/>
      <c r="N719" s="10"/>
    </row>
    <row r="720" spans="11:14" ht="13" x14ac:dyDescent="0.15">
      <c r="K720" s="10"/>
      <c r="L720" s="10"/>
      <c r="M720" s="10"/>
      <c r="N720" s="10"/>
    </row>
    <row r="721" spans="11:14" ht="13" x14ac:dyDescent="0.15">
      <c r="K721" s="10"/>
      <c r="L721" s="10"/>
      <c r="M721" s="10"/>
      <c r="N721" s="10"/>
    </row>
    <row r="722" spans="11:14" ht="13" x14ac:dyDescent="0.15">
      <c r="K722" s="10"/>
      <c r="L722" s="10"/>
      <c r="M722" s="10"/>
      <c r="N722" s="10"/>
    </row>
    <row r="723" spans="11:14" ht="13" x14ac:dyDescent="0.15">
      <c r="K723" s="10"/>
      <c r="L723" s="10"/>
      <c r="M723" s="10"/>
      <c r="N723" s="10"/>
    </row>
    <row r="724" spans="11:14" ht="13" x14ac:dyDescent="0.15">
      <c r="K724" s="10"/>
      <c r="L724" s="10"/>
      <c r="M724" s="10"/>
      <c r="N724" s="10"/>
    </row>
    <row r="725" spans="11:14" ht="13" x14ac:dyDescent="0.15">
      <c r="K725" s="10"/>
      <c r="L725" s="10"/>
      <c r="M725" s="10"/>
      <c r="N725" s="10"/>
    </row>
    <row r="726" spans="11:14" ht="13" x14ac:dyDescent="0.15">
      <c r="K726" s="10"/>
      <c r="L726" s="10"/>
      <c r="M726" s="10"/>
      <c r="N726" s="10"/>
    </row>
    <row r="727" spans="11:14" ht="13" x14ac:dyDescent="0.15">
      <c r="K727" s="10"/>
      <c r="L727" s="10"/>
      <c r="M727" s="10"/>
      <c r="N727" s="10"/>
    </row>
    <row r="728" spans="11:14" ht="13" x14ac:dyDescent="0.15">
      <c r="K728" s="10"/>
      <c r="L728" s="10"/>
      <c r="M728" s="10"/>
      <c r="N728" s="10"/>
    </row>
    <row r="729" spans="11:14" ht="13" x14ac:dyDescent="0.15">
      <c r="K729" s="10"/>
      <c r="L729" s="10"/>
      <c r="M729" s="10"/>
      <c r="N729" s="10"/>
    </row>
    <row r="730" spans="11:14" ht="13" x14ac:dyDescent="0.15">
      <c r="K730" s="10"/>
      <c r="L730" s="10"/>
      <c r="M730" s="10"/>
      <c r="N730" s="10"/>
    </row>
    <row r="731" spans="11:14" ht="13" x14ac:dyDescent="0.15">
      <c r="K731" s="10"/>
      <c r="L731" s="10"/>
      <c r="M731" s="10"/>
      <c r="N731" s="10"/>
    </row>
    <row r="732" spans="11:14" ht="13" x14ac:dyDescent="0.15">
      <c r="K732" s="10"/>
      <c r="L732" s="10"/>
      <c r="M732" s="10"/>
      <c r="N732" s="10"/>
    </row>
    <row r="733" spans="11:14" ht="13" x14ac:dyDescent="0.15">
      <c r="K733" s="10"/>
      <c r="L733" s="10"/>
      <c r="M733" s="10"/>
      <c r="N733" s="10"/>
    </row>
    <row r="734" spans="11:14" ht="13" x14ac:dyDescent="0.15">
      <c r="K734" s="10"/>
      <c r="L734" s="10"/>
      <c r="M734" s="10"/>
      <c r="N734" s="10"/>
    </row>
    <row r="735" spans="11:14" ht="13" x14ac:dyDescent="0.15">
      <c r="K735" s="10"/>
      <c r="L735" s="10"/>
      <c r="M735" s="10"/>
      <c r="N735" s="10"/>
    </row>
    <row r="736" spans="11:14" ht="13" x14ac:dyDescent="0.15">
      <c r="K736" s="10"/>
      <c r="L736" s="10"/>
      <c r="M736" s="10"/>
      <c r="N736" s="10"/>
    </row>
    <row r="737" spans="11:14" ht="13" x14ac:dyDescent="0.15">
      <c r="K737" s="10"/>
      <c r="L737" s="10"/>
      <c r="M737" s="10"/>
      <c r="N737" s="10"/>
    </row>
    <row r="738" spans="11:14" ht="13" x14ac:dyDescent="0.15">
      <c r="K738" s="10"/>
      <c r="L738" s="10"/>
      <c r="M738" s="10"/>
      <c r="N738" s="10"/>
    </row>
    <row r="739" spans="11:14" ht="13" x14ac:dyDescent="0.15">
      <c r="K739" s="10"/>
      <c r="L739" s="10"/>
      <c r="M739" s="10"/>
      <c r="N739" s="10"/>
    </row>
    <row r="740" spans="11:14" ht="13" x14ac:dyDescent="0.15">
      <c r="K740" s="10"/>
      <c r="L740" s="10"/>
      <c r="M740" s="10"/>
      <c r="N740" s="10"/>
    </row>
    <row r="741" spans="11:14" ht="13" x14ac:dyDescent="0.15">
      <c r="K741" s="10"/>
      <c r="L741" s="10"/>
      <c r="M741" s="10"/>
      <c r="N741" s="10"/>
    </row>
    <row r="742" spans="11:14" ht="13" x14ac:dyDescent="0.15">
      <c r="K742" s="10"/>
      <c r="L742" s="10"/>
      <c r="M742" s="10"/>
      <c r="N742" s="10"/>
    </row>
    <row r="743" spans="11:14" ht="13" x14ac:dyDescent="0.15">
      <c r="K743" s="10"/>
      <c r="L743" s="10"/>
      <c r="M743" s="10"/>
      <c r="N743" s="10"/>
    </row>
    <row r="744" spans="11:14" ht="13" x14ac:dyDescent="0.15">
      <c r="K744" s="10"/>
      <c r="L744" s="10"/>
      <c r="M744" s="10"/>
      <c r="N744" s="10"/>
    </row>
    <row r="745" spans="11:14" ht="13" x14ac:dyDescent="0.15">
      <c r="K745" s="10"/>
      <c r="L745" s="10"/>
      <c r="M745" s="10"/>
      <c r="N745" s="10"/>
    </row>
    <row r="746" spans="11:14" ht="13" x14ac:dyDescent="0.15">
      <c r="K746" s="10"/>
      <c r="L746" s="10"/>
      <c r="M746" s="10"/>
      <c r="N746" s="10"/>
    </row>
    <row r="747" spans="11:14" ht="13" x14ac:dyDescent="0.15">
      <c r="K747" s="10"/>
      <c r="L747" s="10"/>
      <c r="M747" s="10"/>
      <c r="N747" s="10"/>
    </row>
    <row r="748" spans="11:14" ht="13" x14ac:dyDescent="0.15">
      <c r="K748" s="10"/>
      <c r="L748" s="10"/>
      <c r="M748" s="10"/>
      <c r="N748" s="10"/>
    </row>
    <row r="749" spans="11:14" ht="13" x14ac:dyDescent="0.15">
      <c r="K749" s="10"/>
      <c r="L749" s="10"/>
      <c r="M749" s="10"/>
      <c r="N749" s="10"/>
    </row>
    <row r="750" spans="11:14" ht="13" x14ac:dyDescent="0.15">
      <c r="K750" s="10"/>
      <c r="L750" s="10"/>
      <c r="M750" s="10"/>
      <c r="N750" s="10"/>
    </row>
    <row r="751" spans="11:14" ht="13" x14ac:dyDescent="0.15">
      <c r="K751" s="10"/>
      <c r="L751" s="10"/>
      <c r="M751" s="10"/>
      <c r="N751" s="10"/>
    </row>
    <row r="752" spans="11:14" ht="13" x14ac:dyDescent="0.15">
      <c r="K752" s="10"/>
      <c r="L752" s="10"/>
      <c r="M752" s="10"/>
      <c r="N752" s="10"/>
    </row>
    <row r="753" spans="11:14" ht="13" x14ac:dyDescent="0.15">
      <c r="K753" s="10"/>
      <c r="L753" s="10"/>
      <c r="M753" s="10"/>
      <c r="N753" s="10"/>
    </row>
    <row r="754" spans="11:14" ht="13" x14ac:dyDescent="0.15">
      <c r="K754" s="10"/>
      <c r="L754" s="10"/>
      <c r="M754" s="10"/>
      <c r="N754" s="10"/>
    </row>
    <row r="755" spans="11:14" ht="13" x14ac:dyDescent="0.15">
      <c r="K755" s="10"/>
      <c r="L755" s="10"/>
      <c r="M755" s="10"/>
      <c r="N755" s="10"/>
    </row>
    <row r="756" spans="11:14" ht="13" x14ac:dyDescent="0.15">
      <c r="K756" s="10"/>
      <c r="L756" s="10"/>
      <c r="M756" s="10"/>
      <c r="N756" s="10"/>
    </row>
    <row r="757" spans="11:14" ht="13" x14ac:dyDescent="0.15">
      <c r="K757" s="10"/>
      <c r="L757" s="10"/>
      <c r="M757" s="10"/>
      <c r="N757" s="10"/>
    </row>
    <row r="758" spans="11:14" ht="13" x14ac:dyDescent="0.15">
      <c r="K758" s="10"/>
      <c r="L758" s="10"/>
      <c r="M758" s="10"/>
      <c r="N758" s="10"/>
    </row>
    <row r="759" spans="11:14" ht="13" x14ac:dyDescent="0.15">
      <c r="K759" s="10"/>
      <c r="L759" s="10"/>
      <c r="M759" s="10"/>
      <c r="N759" s="10"/>
    </row>
    <row r="760" spans="11:14" ht="13" x14ac:dyDescent="0.15">
      <c r="K760" s="10"/>
      <c r="L760" s="10"/>
      <c r="M760" s="10"/>
      <c r="N760" s="10"/>
    </row>
    <row r="761" spans="11:14" ht="13" x14ac:dyDescent="0.15">
      <c r="K761" s="10"/>
      <c r="L761" s="10"/>
      <c r="M761" s="10"/>
      <c r="N761" s="10"/>
    </row>
    <row r="762" spans="11:14" ht="13" x14ac:dyDescent="0.15">
      <c r="K762" s="10"/>
      <c r="L762" s="10"/>
      <c r="M762" s="10"/>
      <c r="N762" s="10"/>
    </row>
    <row r="763" spans="11:14" ht="13" x14ac:dyDescent="0.15">
      <c r="K763" s="10"/>
      <c r="L763" s="10"/>
      <c r="M763" s="10"/>
      <c r="N763" s="10"/>
    </row>
    <row r="764" spans="11:14" ht="13" x14ac:dyDescent="0.15">
      <c r="K764" s="10"/>
      <c r="L764" s="10"/>
      <c r="M764" s="10"/>
      <c r="N764" s="10"/>
    </row>
    <row r="765" spans="11:14" ht="13" x14ac:dyDescent="0.15">
      <c r="K765" s="10"/>
      <c r="L765" s="10"/>
      <c r="M765" s="10"/>
      <c r="N765" s="10"/>
    </row>
    <row r="766" spans="11:14" ht="13" x14ac:dyDescent="0.15">
      <c r="K766" s="10"/>
      <c r="L766" s="10"/>
      <c r="M766" s="10"/>
      <c r="N766" s="10"/>
    </row>
    <row r="767" spans="11:14" ht="13" x14ac:dyDescent="0.15">
      <c r="K767" s="10"/>
      <c r="L767" s="10"/>
      <c r="M767" s="10"/>
      <c r="N767" s="10"/>
    </row>
    <row r="768" spans="11:14" ht="13" x14ac:dyDescent="0.15">
      <c r="K768" s="10"/>
      <c r="L768" s="10"/>
      <c r="M768" s="10"/>
      <c r="N768" s="10"/>
    </row>
    <row r="769" spans="11:14" ht="13" x14ac:dyDescent="0.15">
      <c r="K769" s="10"/>
      <c r="L769" s="10"/>
      <c r="M769" s="10"/>
      <c r="N769" s="10"/>
    </row>
    <row r="770" spans="11:14" ht="13" x14ac:dyDescent="0.15">
      <c r="K770" s="10"/>
      <c r="L770" s="10"/>
      <c r="M770" s="10"/>
      <c r="N770" s="10"/>
    </row>
    <row r="771" spans="11:14" ht="13" x14ac:dyDescent="0.15">
      <c r="K771" s="10"/>
      <c r="L771" s="10"/>
      <c r="M771" s="10"/>
      <c r="N771" s="10"/>
    </row>
    <row r="772" spans="11:14" ht="13" x14ac:dyDescent="0.15">
      <c r="K772" s="10"/>
      <c r="L772" s="10"/>
      <c r="M772" s="10"/>
      <c r="N772" s="10"/>
    </row>
    <row r="773" spans="11:14" ht="13" x14ac:dyDescent="0.15">
      <c r="K773" s="10"/>
      <c r="L773" s="10"/>
      <c r="M773" s="10"/>
      <c r="N773" s="10"/>
    </row>
    <row r="774" spans="11:14" ht="13" x14ac:dyDescent="0.15">
      <c r="K774" s="10"/>
      <c r="L774" s="10"/>
      <c r="M774" s="10"/>
      <c r="N774" s="10"/>
    </row>
    <row r="775" spans="11:14" ht="13" x14ac:dyDescent="0.15">
      <c r="K775" s="10"/>
      <c r="L775" s="10"/>
      <c r="M775" s="10"/>
      <c r="N775" s="10"/>
    </row>
    <row r="776" spans="11:14" ht="13" x14ac:dyDescent="0.15">
      <c r="K776" s="10"/>
      <c r="L776" s="10"/>
      <c r="M776" s="10"/>
      <c r="N776" s="10"/>
    </row>
    <row r="777" spans="11:14" ht="13" x14ac:dyDescent="0.15">
      <c r="K777" s="10"/>
      <c r="L777" s="10"/>
      <c r="M777" s="10"/>
      <c r="N777" s="10"/>
    </row>
    <row r="778" spans="11:14" ht="13" x14ac:dyDescent="0.15">
      <c r="K778" s="10"/>
      <c r="L778" s="10"/>
      <c r="M778" s="10"/>
      <c r="N778" s="10"/>
    </row>
    <row r="779" spans="11:14" ht="13" x14ac:dyDescent="0.15">
      <c r="K779" s="10"/>
      <c r="L779" s="10"/>
      <c r="M779" s="10"/>
      <c r="N779" s="10"/>
    </row>
    <row r="780" spans="11:14" ht="13" x14ac:dyDescent="0.15">
      <c r="K780" s="10"/>
      <c r="L780" s="10"/>
      <c r="M780" s="10"/>
      <c r="N780" s="10"/>
    </row>
    <row r="781" spans="11:14" ht="13" x14ac:dyDescent="0.15">
      <c r="K781" s="10"/>
      <c r="L781" s="10"/>
      <c r="M781" s="10"/>
      <c r="N781" s="10"/>
    </row>
    <row r="782" spans="11:14" ht="13" x14ac:dyDescent="0.15">
      <c r="K782" s="10"/>
      <c r="L782" s="10"/>
      <c r="M782" s="10"/>
      <c r="N782" s="10"/>
    </row>
    <row r="783" spans="11:14" ht="13" x14ac:dyDescent="0.15">
      <c r="K783" s="10"/>
      <c r="L783" s="10"/>
      <c r="M783" s="10"/>
      <c r="N783" s="10"/>
    </row>
    <row r="784" spans="11:14" ht="13" x14ac:dyDescent="0.15">
      <c r="K784" s="10"/>
      <c r="L784" s="10"/>
      <c r="M784" s="10"/>
      <c r="N784" s="10"/>
    </row>
    <row r="785" spans="11:14" ht="13" x14ac:dyDescent="0.15">
      <c r="K785" s="10"/>
      <c r="L785" s="10"/>
      <c r="M785" s="10"/>
      <c r="N785" s="10"/>
    </row>
    <row r="786" spans="11:14" ht="13" x14ac:dyDescent="0.15">
      <c r="K786" s="10"/>
      <c r="L786" s="10"/>
      <c r="M786" s="10"/>
      <c r="N786" s="10"/>
    </row>
    <row r="787" spans="11:14" ht="13" x14ac:dyDescent="0.15">
      <c r="K787" s="10"/>
      <c r="L787" s="10"/>
      <c r="M787" s="10"/>
      <c r="N787" s="10"/>
    </row>
    <row r="788" spans="11:14" ht="13" x14ac:dyDescent="0.15">
      <c r="K788" s="10"/>
      <c r="L788" s="10"/>
      <c r="M788" s="10"/>
      <c r="N788" s="10"/>
    </row>
    <row r="789" spans="11:14" ht="13" x14ac:dyDescent="0.15">
      <c r="K789" s="10"/>
      <c r="L789" s="10"/>
      <c r="M789" s="10"/>
      <c r="N789" s="10"/>
    </row>
    <row r="790" spans="11:14" ht="13" x14ac:dyDescent="0.15">
      <c r="K790" s="10"/>
      <c r="L790" s="10"/>
      <c r="M790" s="10"/>
      <c r="N790" s="10"/>
    </row>
    <row r="791" spans="11:14" ht="13" x14ac:dyDescent="0.15">
      <c r="K791" s="10"/>
      <c r="L791" s="10"/>
      <c r="M791" s="10"/>
      <c r="N791" s="10"/>
    </row>
    <row r="792" spans="11:14" ht="13" x14ac:dyDescent="0.15">
      <c r="K792" s="10"/>
      <c r="L792" s="10"/>
      <c r="M792" s="10"/>
      <c r="N792" s="10"/>
    </row>
    <row r="793" spans="11:14" ht="13" x14ac:dyDescent="0.15">
      <c r="K793" s="10"/>
      <c r="L793" s="10"/>
      <c r="M793" s="10"/>
      <c r="N793" s="10"/>
    </row>
    <row r="794" spans="11:14" ht="13" x14ac:dyDescent="0.15">
      <c r="K794" s="10"/>
      <c r="L794" s="10"/>
      <c r="M794" s="10"/>
      <c r="N794" s="10"/>
    </row>
    <row r="795" spans="11:14" ht="13" x14ac:dyDescent="0.15">
      <c r="K795" s="10"/>
      <c r="L795" s="10"/>
      <c r="M795" s="10"/>
      <c r="N795" s="10"/>
    </row>
    <row r="796" spans="11:14" ht="13" x14ac:dyDescent="0.15">
      <c r="K796" s="10"/>
      <c r="L796" s="10"/>
      <c r="M796" s="10"/>
      <c r="N796" s="10"/>
    </row>
    <row r="797" spans="11:14" ht="13" x14ac:dyDescent="0.15">
      <c r="K797" s="10"/>
      <c r="L797" s="10"/>
      <c r="M797" s="10"/>
      <c r="N797" s="10"/>
    </row>
    <row r="798" spans="11:14" ht="13" x14ac:dyDescent="0.15">
      <c r="K798" s="10"/>
      <c r="L798" s="10"/>
      <c r="M798" s="10"/>
      <c r="N798" s="10"/>
    </row>
    <row r="799" spans="11:14" ht="13" x14ac:dyDescent="0.15">
      <c r="K799" s="10"/>
      <c r="L799" s="10"/>
      <c r="M799" s="10"/>
      <c r="N799" s="10"/>
    </row>
    <row r="800" spans="11:14" ht="13" x14ac:dyDescent="0.15">
      <c r="K800" s="10"/>
      <c r="L800" s="10"/>
      <c r="M800" s="10"/>
      <c r="N800" s="10"/>
    </row>
    <row r="801" spans="11:14" ht="13" x14ac:dyDescent="0.15">
      <c r="K801" s="10"/>
      <c r="L801" s="10"/>
      <c r="M801" s="10"/>
      <c r="N801" s="10"/>
    </row>
    <row r="802" spans="11:14" ht="13" x14ac:dyDescent="0.15">
      <c r="K802" s="10"/>
      <c r="L802" s="10"/>
      <c r="M802" s="10"/>
      <c r="N802" s="10"/>
    </row>
    <row r="803" spans="11:14" ht="13" x14ac:dyDescent="0.15">
      <c r="K803" s="10"/>
      <c r="L803" s="10"/>
      <c r="M803" s="10"/>
      <c r="N803" s="10"/>
    </row>
    <row r="804" spans="11:14" ht="13" x14ac:dyDescent="0.15">
      <c r="K804" s="10"/>
      <c r="L804" s="10"/>
      <c r="M804" s="10"/>
      <c r="N804" s="10"/>
    </row>
    <row r="805" spans="11:14" ht="13" x14ac:dyDescent="0.15">
      <c r="K805" s="10"/>
      <c r="L805" s="10"/>
      <c r="M805" s="10"/>
      <c r="N805" s="10"/>
    </row>
    <row r="806" spans="11:14" ht="13" x14ac:dyDescent="0.15">
      <c r="K806" s="10"/>
      <c r="L806" s="10"/>
      <c r="M806" s="10"/>
      <c r="N806" s="10"/>
    </row>
    <row r="807" spans="11:14" ht="13" x14ac:dyDescent="0.15">
      <c r="K807" s="10"/>
      <c r="L807" s="10"/>
      <c r="M807" s="10"/>
      <c r="N807" s="10"/>
    </row>
    <row r="808" spans="11:14" ht="13" x14ac:dyDescent="0.15">
      <c r="K808" s="10"/>
      <c r="L808" s="10"/>
      <c r="M808" s="10"/>
      <c r="N808" s="10"/>
    </row>
    <row r="809" spans="11:14" ht="13" x14ac:dyDescent="0.15">
      <c r="K809" s="10"/>
      <c r="L809" s="10"/>
      <c r="M809" s="10"/>
      <c r="N809" s="10"/>
    </row>
    <row r="810" spans="11:14" ht="13" x14ac:dyDescent="0.15">
      <c r="K810" s="10"/>
      <c r="L810" s="10"/>
      <c r="M810" s="10"/>
      <c r="N810" s="10"/>
    </row>
    <row r="811" spans="11:14" ht="13" x14ac:dyDescent="0.15">
      <c r="K811" s="10"/>
      <c r="L811" s="10"/>
      <c r="M811" s="10"/>
      <c r="N811" s="10"/>
    </row>
    <row r="812" spans="11:14" ht="13" x14ac:dyDescent="0.15">
      <c r="K812" s="10"/>
      <c r="L812" s="10"/>
      <c r="M812" s="10"/>
      <c r="N812" s="10"/>
    </row>
    <row r="813" spans="11:14" ht="13" x14ac:dyDescent="0.15">
      <c r="K813" s="10"/>
      <c r="L813" s="10"/>
      <c r="M813" s="10"/>
      <c r="N813" s="10"/>
    </row>
    <row r="814" spans="11:14" ht="13" x14ac:dyDescent="0.15">
      <c r="K814" s="10"/>
      <c r="L814" s="10"/>
      <c r="M814" s="10"/>
      <c r="N814" s="10"/>
    </row>
    <row r="815" spans="11:14" ht="13" x14ac:dyDescent="0.15">
      <c r="K815" s="10"/>
      <c r="L815" s="10"/>
      <c r="M815" s="10"/>
      <c r="N815" s="10"/>
    </row>
    <row r="816" spans="11:14" ht="13" x14ac:dyDescent="0.15">
      <c r="K816" s="10"/>
      <c r="L816" s="10"/>
      <c r="M816" s="10"/>
      <c r="N816" s="10"/>
    </row>
    <row r="817" spans="11:14" ht="13" x14ac:dyDescent="0.15">
      <c r="K817" s="10"/>
      <c r="L817" s="10"/>
      <c r="M817" s="10"/>
      <c r="N817" s="10"/>
    </row>
    <row r="818" spans="11:14" ht="13" x14ac:dyDescent="0.15">
      <c r="K818" s="10"/>
      <c r="L818" s="10"/>
      <c r="M818" s="10"/>
      <c r="N818" s="10"/>
    </row>
    <row r="819" spans="11:14" ht="13" x14ac:dyDescent="0.15">
      <c r="K819" s="10"/>
      <c r="L819" s="10"/>
      <c r="M819" s="10"/>
      <c r="N819" s="10"/>
    </row>
    <row r="820" spans="11:14" ht="13" x14ac:dyDescent="0.15">
      <c r="K820" s="10"/>
      <c r="L820" s="10"/>
      <c r="M820" s="10"/>
      <c r="N820" s="10"/>
    </row>
    <row r="821" spans="11:14" ht="13" x14ac:dyDescent="0.15">
      <c r="K821" s="10"/>
      <c r="L821" s="10"/>
      <c r="M821" s="10"/>
      <c r="N821" s="10"/>
    </row>
    <row r="822" spans="11:14" ht="13" x14ac:dyDescent="0.15">
      <c r="K822" s="10"/>
      <c r="L822" s="10"/>
      <c r="M822" s="10"/>
      <c r="N822" s="10"/>
    </row>
    <row r="823" spans="11:14" ht="13" x14ac:dyDescent="0.15">
      <c r="K823" s="10"/>
      <c r="L823" s="10"/>
      <c r="M823" s="10"/>
      <c r="N823" s="10"/>
    </row>
    <row r="824" spans="11:14" ht="13" x14ac:dyDescent="0.15">
      <c r="K824" s="10"/>
      <c r="L824" s="10"/>
      <c r="M824" s="10"/>
      <c r="N824" s="10"/>
    </row>
    <row r="825" spans="11:14" ht="13" x14ac:dyDescent="0.15">
      <c r="K825" s="10"/>
      <c r="L825" s="10"/>
      <c r="M825" s="10"/>
      <c r="N825" s="10"/>
    </row>
    <row r="826" spans="11:14" ht="13" x14ac:dyDescent="0.15">
      <c r="K826" s="10"/>
      <c r="L826" s="10"/>
      <c r="M826" s="10"/>
      <c r="N826" s="10"/>
    </row>
    <row r="827" spans="11:14" ht="13" x14ac:dyDescent="0.15">
      <c r="K827" s="10"/>
      <c r="L827" s="10"/>
      <c r="M827" s="10"/>
      <c r="N827" s="10"/>
    </row>
    <row r="828" spans="11:14" ht="13" x14ac:dyDescent="0.15">
      <c r="K828" s="10"/>
      <c r="L828" s="10"/>
      <c r="M828" s="10"/>
      <c r="N828" s="10"/>
    </row>
    <row r="829" spans="11:14" ht="13" x14ac:dyDescent="0.15">
      <c r="K829" s="10"/>
      <c r="L829" s="10"/>
      <c r="M829" s="10"/>
      <c r="N829" s="10"/>
    </row>
    <row r="830" spans="11:14" ht="13" x14ac:dyDescent="0.15">
      <c r="K830" s="10"/>
      <c r="L830" s="10"/>
      <c r="M830" s="10"/>
      <c r="N830" s="10"/>
    </row>
    <row r="831" spans="11:14" ht="13" x14ac:dyDescent="0.15">
      <c r="K831" s="10"/>
      <c r="L831" s="10"/>
      <c r="M831" s="10"/>
      <c r="N831" s="10"/>
    </row>
    <row r="832" spans="11:14" ht="13" x14ac:dyDescent="0.15">
      <c r="K832" s="10"/>
      <c r="L832" s="10"/>
      <c r="M832" s="10"/>
      <c r="N832" s="10"/>
    </row>
    <row r="833" spans="11:14" ht="13" x14ac:dyDescent="0.15">
      <c r="K833" s="10"/>
      <c r="L833" s="10"/>
      <c r="M833" s="10"/>
      <c r="N833" s="10"/>
    </row>
    <row r="834" spans="11:14" ht="13" x14ac:dyDescent="0.15">
      <c r="K834" s="10"/>
      <c r="L834" s="10"/>
      <c r="M834" s="10"/>
      <c r="N834" s="10"/>
    </row>
    <row r="835" spans="11:14" ht="13" x14ac:dyDescent="0.15">
      <c r="K835" s="10"/>
      <c r="L835" s="10"/>
      <c r="M835" s="10"/>
      <c r="N835" s="10"/>
    </row>
    <row r="836" spans="11:14" ht="13" x14ac:dyDescent="0.15">
      <c r="K836" s="10"/>
      <c r="L836" s="10"/>
      <c r="M836" s="10"/>
      <c r="N836" s="10"/>
    </row>
    <row r="837" spans="11:14" ht="13" x14ac:dyDescent="0.15">
      <c r="K837" s="10"/>
      <c r="L837" s="10"/>
      <c r="M837" s="10"/>
      <c r="N837" s="10"/>
    </row>
    <row r="838" spans="11:14" ht="13" x14ac:dyDescent="0.15">
      <c r="K838" s="10"/>
      <c r="L838" s="10"/>
      <c r="M838" s="10"/>
      <c r="N838" s="10"/>
    </row>
    <row r="839" spans="11:14" ht="13" x14ac:dyDescent="0.15">
      <c r="K839" s="10"/>
      <c r="L839" s="10"/>
      <c r="M839" s="10"/>
      <c r="N839" s="10"/>
    </row>
    <row r="840" spans="11:14" ht="13" x14ac:dyDescent="0.15">
      <c r="K840" s="10"/>
      <c r="L840" s="10"/>
      <c r="M840" s="10"/>
      <c r="N840" s="10"/>
    </row>
    <row r="841" spans="11:14" ht="13" x14ac:dyDescent="0.15">
      <c r="K841" s="10"/>
      <c r="L841" s="10"/>
      <c r="M841" s="10"/>
      <c r="N841" s="10"/>
    </row>
    <row r="842" spans="11:14" ht="13" x14ac:dyDescent="0.15">
      <c r="K842" s="10"/>
      <c r="L842" s="10"/>
      <c r="M842" s="10"/>
      <c r="N842" s="10"/>
    </row>
    <row r="843" spans="11:14" ht="13" x14ac:dyDescent="0.15">
      <c r="K843" s="10"/>
      <c r="L843" s="10"/>
      <c r="M843" s="10"/>
      <c r="N843" s="10"/>
    </row>
    <row r="844" spans="11:14" ht="13" x14ac:dyDescent="0.15">
      <c r="K844" s="10"/>
      <c r="L844" s="10"/>
      <c r="M844" s="10"/>
      <c r="N844" s="10"/>
    </row>
    <row r="845" spans="11:14" ht="13" x14ac:dyDescent="0.15">
      <c r="K845" s="10"/>
      <c r="L845" s="10"/>
      <c r="M845" s="10"/>
      <c r="N845" s="10"/>
    </row>
    <row r="846" spans="11:14" ht="13" x14ac:dyDescent="0.15">
      <c r="K846" s="10"/>
      <c r="L846" s="10"/>
      <c r="M846" s="10"/>
      <c r="N846" s="10"/>
    </row>
    <row r="847" spans="11:14" ht="13" x14ac:dyDescent="0.15">
      <c r="K847" s="10"/>
      <c r="L847" s="10"/>
      <c r="M847" s="10"/>
      <c r="N847" s="10"/>
    </row>
    <row r="848" spans="11:14" ht="13" x14ac:dyDescent="0.15">
      <c r="K848" s="10"/>
      <c r="L848" s="10"/>
      <c r="M848" s="10"/>
      <c r="N848" s="10"/>
    </row>
    <row r="849" spans="11:14" ht="13" x14ac:dyDescent="0.15">
      <c r="K849" s="10"/>
      <c r="L849" s="10"/>
      <c r="M849" s="10"/>
      <c r="N849" s="10"/>
    </row>
    <row r="850" spans="11:14" ht="13" x14ac:dyDescent="0.15">
      <c r="K850" s="10"/>
      <c r="L850" s="10"/>
      <c r="M850" s="10"/>
      <c r="N850" s="10"/>
    </row>
    <row r="851" spans="11:14" ht="13" x14ac:dyDescent="0.15">
      <c r="K851" s="10"/>
      <c r="L851" s="10"/>
      <c r="M851" s="10"/>
      <c r="N851" s="10"/>
    </row>
    <row r="852" spans="11:14" ht="13" x14ac:dyDescent="0.15">
      <c r="K852" s="10"/>
      <c r="L852" s="10"/>
      <c r="M852" s="10"/>
      <c r="N852" s="10"/>
    </row>
    <row r="853" spans="11:14" ht="13" x14ac:dyDescent="0.15">
      <c r="K853" s="10"/>
      <c r="L853" s="10"/>
      <c r="M853" s="10"/>
      <c r="N853" s="10"/>
    </row>
    <row r="854" spans="11:14" ht="13" x14ac:dyDescent="0.15">
      <c r="K854" s="10"/>
      <c r="L854" s="10"/>
      <c r="M854" s="10"/>
      <c r="N854" s="10"/>
    </row>
    <row r="855" spans="11:14" ht="13" x14ac:dyDescent="0.15">
      <c r="K855" s="10"/>
      <c r="L855" s="10"/>
      <c r="M855" s="10"/>
      <c r="N855" s="10"/>
    </row>
    <row r="856" spans="11:14" ht="13" x14ac:dyDescent="0.15">
      <c r="K856" s="10"/>
      <c r="L856" s="10"/>
      <c r="M856" s="10"/>
      <c r="N856" s="10"/>
    </row>
    <row r="857" spans="11:14" ht="13" x14ac:dyDescent="0.15">
      <c r="K857" s="10"/>
      <c r="L857" s="10"/>
      <c r="M857" s="10"/>
      <c r="N857" s="10"/>
    </row>
    <row r="858" spans="11:14" ht="13" x14ac:dyDescent="0.15">
      <c r="K858" s="10"/>
      <c r="L858" s="10"/>
      <c r="M858" s="10"/>
      <c r="N858" s="10"/>
    </row>
    <row r="859" spans="11:14" ht="13" x14ac:dyDescent="0.15">
      <c r="K859" s="10"/>
      <c r="L859" s="10"/>
      <c r="M859" s="10"/>
      <c r="N859" s="10"/>
    </row>
    <row r="860" spans="11:14" ht="13" x14ac:dyDescent="0.15">
      <c r="K860" s="10"/>
      <c r="L860" s="10"/>
      <c r="M860" s="10"/>
      <c r="N860" s="10"/>
    </row>
    <row r="861" spans="11:14" ht="13" x14ac:dyDescent="0.15">
      <c r="K861" s="10"/>
      <c r="L861" s="10"/>
      <c r="M861" s="10"/>
      <c r="N861" s="10"/>
    </row>
    <row r="862" spans="11:14" ht="13" x14ac:dyDescent="0.15">
      <c r="K862" s="10"/>
      <c r="L862" s="10"/>
      <c r="M862" s="10"/>
      <c r="N862" s="10"/>
    </row>
    <row r="863" spans="11:14" ht="13" x14ac:dyDescent="0.15">
      <c r="K863" s="10"/>
      <c r="L863" s="10"/>
      <c r="M863" s="10"/>
      <c r="N863" s="10"/>
    </row>
    <row r="864" spans="11:14" ht="13" x14ac:dyDescent="0.15">
      <c r="K864" s="10"/>
      <c r="L864" s="10"/>
      <c r="M864" s="10"/>
      <c r="N864" s="10"/>
    </row>
    <row r="865" spans="11:14" ht="13" x14ac:dyDescent="0.15">
      <c r="K865" s="10"/>
      <c r="L865" s="10"/>
      <c r="M865" s="10"/>
      <c r="N865" s="10"/>
    </row>
    <row r="866" spans="11:14" ht="13" x14ac:dyDescent="0.15">
      <c r="K866" s="10"/>
      <c r="L866" s="10"/>
      <c r="M866" s="10"/>
      <c r="N866" s="10"/>
    </row>
    <row r="867" spans="11:14" ht="13" x14ac:dyDescent="0.15">
      <c r="K867" s="10"/>
      <c r="L867" s="10"/>
      <c r="M867" s="10"/>
      <c r="N867" s="10"/>
    </row>
    <row r="868" spans="11:14" ht="13" x14ac:dyDescent="0.15">
      <c r="K868" s="10"/>
      <c r="L868" s="10"/>
      <c r="M868" s="10"/>
      <c r="N868" s="10"/>
    </row>
    <row r="869" spans="11:14" ht="13" x14ac:dyDescent="0.15">
      <c r="K869" s="10"/>
      <c r="L869" s="10"/>
      <c r="M869" s="10"/>
      <c r="N869" s="10"/>
    </row>
    <row r="870" spans="11:14" ht="13" x14ac:dyDescent="0.15">
      <c r="K870" s="10"/>
      <c r="L870" s="10"/>
      <c r="M870" s="10"/>
      <c r="N870" s="10"/>
    </row>
    <row r="871" spans="11:14" ht="13" x14ac:dyDescent="0.15">
      <c r="K871" s="10"/>
      <c r="L871" s="10"/>
      <c r="M871" s="10"/>
      <c r="N871" s="10"/>
    </row>
    <row r="872" spans="11:14" ht="13" x14ac:dyDescent="0.15">
      <c r="K872" s="10"/>
      <c r="L872" s="10"/>
      <c r="M872" s="10"/>
      <c r="N872" s="10"/>
    </row>
    <row r="873" spans="11:14" ht="13" x14ac:dyDescent="0.15">
      <c r="K873" s="10"/>
      <c r="L873" s="10"/>
      <c r="M873" s="10"/>
      <c r="N873" s="10"/>
    </row>
    <row r="874" spans="11:14" ht="13" x14ac:dyDescent="0.15">
      <c r="K874" s="10"/>
      <c r="L874" s="10"/>
      <c r="M874" s="10"/>
      <c r="N874" s="10"/>
    </row>
    <row r="875" spans="11:14" ht="13" x14ac:dyDescent="0.15">
      <c r="K875" s="10"/>
      <c r="L875" s="10"/>
      <c r="M875" s="10"/>
      <c r="N875" s="10"/>
    </row>
    <row r="876" spans="11:14" ht="13" x14ac:dyDescent="0.15">
      <c r="K876" s="10"/>
      <c r="L876" s="10"/>
      <c r="M876" s="10"/>
      <c r="N876" s="10"/>
    </row>
    <row r="877" spans="11:14" ht="13" x14ac:dyDescent="0.15">
      <c r="K877" s="10"/>
      <c r="L877" s="10"/>
      <c r="M877" s="10"/>
      <c r="N877" s="10"/>
    </row>
    <row r="878" spans="11:14" ht="13" x14ac:dyDescent="0.15">
      <c r="K878" s="10"/>
      <c r="L878" s="10"/>
      <c r="M878" s="10"/>
      <c r="N878" s="10"/>
    </row>
    <row r="879" spans="11:14" ht="13" x14ac:dyDescent="0.15">
      <c r="K879" s="10"/>
      <c r="L879" s="10"/>
      <c r="M879" s="10"/>
      <c r="N879" s="10"/>
    </row>
    <row r="880" spans="11:14" ht="13" x14ac:dyDescent="0.15">
      <c r="K880" s="10"/>
      <c r="L880" s="10"/>
      <c r="M880" s="10"/>
      <c r="N880" s="10"/>
    </row>
    <row r="881" spans="11:14" ht="13" x14ac:dyDescent="0.15">
      <c r="K881" s="10"/>
      <c r="L881" s="10"/>
      <c r="M881" s="10"/>
      <c r="N881" s="10"/>
    </row>
    <row r="882" spans="11:14" ht="13" x14ac:dyDescent="0.15">
      <c r="K882" s="10"/>
      <c r="L882" s="10"/>
      <c r="M882" s="10"/>
      <c r="N882" s="10"/>
    </row>
    <row r="883" spans="11:14" ht="13" x14ac:dyDescent="0.15">
      <c r="K883" s="10"/>
      <c r="L883" s="10"/>
      <c r="M883" s="10"/>
      <c r="N883" s="10"/>
    </row>
    <row r="884" spans="11:14" ht="13" x14ac:dyDescent="0.15">
      <c r="K884" s="10"/>
      <c r="L884" s="10"/>
      <c r="M884" s="10"/>
      <c r="N884" s="10"/>
    </row>
    <row r="885" spans="11:14" ht="13" x14ac:dyDescent="0.15">
      <c r="K885" s="10"/>
      <c r="L885" s="10"/>
      <c r="M885" s="10"/>
      <c r="N885" s="10"/>
    </row>
    <row r="886" spans="11:14" ht="13" x14ac:dyDescent="0.15">
      <c r="K886" s="10"/>
      <c r="L886" s="10"/>
      <c r="M886" s="10"/>
      <c r="N886" s="10"/>
    </row>
    <row r="887" spans="11:14" ht="13" x14ac:dyDescent="0.15">
      <c r="K887" s="10"/>
      <c r="L887" s="10"/>
      <c r="M887" s="10"/>
      <c r="N887" s="10"/>
    </row>
    <row r="888" spans="11:14" ht="13" x14ac:dyDescent="0.15">
      <c r="K888" s="10"/>
      <c r="L888" s="10"/>
      <c r="M888" s="10"/>
      <c r="N888" s="10"/>
    </row>
    <row r="889" spans="11:14" ht="13" x14ac:dyDescent="0.15">
      <c r="K889" s="10"/>
      <c r="L889" s="10"/>
      <c r="M889" s="10"/>
      <c r="N889" s="10"/>
    </row>
    <row r="890" spans="11:14" ht="13" x14ac:dyDescent="0.15">
      <c r="K890" s="10"/>
      <c r="L890" s="10"/>
      <c r="M890" s="10"/>
      <c r="N890" s="10"/>
    </row>
    <row r="891" spans="11:14" ht="13" x14ac:dyDescent="0.15">
      <c r="K891" s="10"/>
      <c r="L891" s="10"/>
      <c r="M891" s="10"/>
      <c r="N891" s="10"/>
    </row>
    <row r="892" spans="11:14" ht="13" x14ac:dyDescent="0.15">
      <c r="K892" s="10"/>
      <c r="L892" s="10"/>
      <c r="M892" s="10"/>
      <c r="N892" s="10"/>
    </row>
    <row r="893" spans="11:14" ht="13" x14ac:dyDescent="0.15">
      <c r="K893" s="10"/>
      <c r="L893" s="10"/>
      <c r="M893" s="10"/>
      <c r="N893" s="10"/>
    </row>
    <row r="894" spans="11:14" ht="13" x14ac:dyDescent="0.15">
      <c r="K894" s="10"/>
      <c r="L894" s="10"/>
      <c r="M894" s="10"/>
      <c r="N894" s="10"/>
    </row>
    <row r="895" spans="11:14" ht="13" x14ac:dyDescent="0.15">
      <c r="K895" s="10"/>
      <c r="L895" s="10"/>
      <c r="M895" s="10"/>
      <c r="N895" s="10"/>
    </row>
    <row r="896" spans="11:14" ht="13" x14ac:dyDescent="0.15">
      <c r="K896" s="10"/>
      <c r="L896" s="10"/>
      <c r="M896" s="10"/>
      <c r="N896" s="10"/>
    </row>
    <row r="897" spans="11:14" ht="13" x14ac:dyDescent="0.15">
      <c r="K897" s="10"/>
      <c r="L897" s="10"/>
      <c r="M897" s="10"/>
      <c r="N897" s="10"/>
    </row>
    <row r="898" spans="11:14" ht="13" x14ac:dyDescent="0.15">
      <c r="K898" s="10"/>
      <c r="L898" s="10"/>
      <c r="M898" s="10"/>
      <c r="N898" s="10"/>
    </row>
    <row r="899" spans="11:14" ht="13" x14ac:dyDescent="0.15">
      <c r="K899" s="10"/>
      <c r="L899" s="10"/>
      <c r="M899" s="10"/>
      <c r="N899" s="10"/>
    </row>
    <row r="900" spans="11:14" ht="13" x14ac:dyDescent="0.15">
      <c r="K900" s="10"/>
      <c r="L900" s="10"/>
      <c r="M900" s="10"/>
      <c r="N900" s="10"/>
    </row>
    <row r="901" spans="11:14" ht="13" x14ac:dyDescent="0.15">
      <c r="K901" s="10"/>
      <c r="L901" s="10"/>
      <c r="M901" s="10"/>
      <c r="N901" s="10"/>
    </row>
    <row r="902" spans="11:14" ht="13" x14ac:dyDescent="0.15">
      <c r="K902" s="10"/>
      <c r="L902" s="10"/>
      <c r="M902" s="10"/>
      <c r="N902" s="10"/>
    </row>
    <row r="903" spans="11:14" ht="13" x14ac:dyDescent="0.15">
      <c r="K903" s="10"/>
      <c r="L903" s="10"/>
      <c r="M903" s="10"/>
      <c r="N903" s="10"/>
    </row>
    <row r="904" spans="11:14" ht="13" x14ac:dyDescent="0.15">
      <c r="K904" s="10"/>
      <c r="L904" s="10"/>
      <c r="M904" s="10"/>
      <c r="N904" s="10"/>
    </row>
    <row r="905" spans="11:14" ht="13" x14ac:dyDescent="0.15">
      <c r="K905" s="10"/>
      <c r="L905" s="10"/>
      <c r="M905" s="10"/>
      <c r="N905" s="10"/>
    </row>
    <row r="906" spans="11:14" ht="13" x14ac:dyDescent="0.15">
      <c r="K906" s="10"/>
      <c r="L906" s="10"/>
      <c r="M906" s="10"/>
      <c r="N906" s="10"/>
    </row>
    <row r="907" spans="11:14" ht="13" x14ac:dyDescent="0.15">
      <c r="K907" s="10"/>
      <c r="L907" s="10"/>
      <c r="M907" s="10"/>
      <c r="N907" s="10"/>
    </row>
    <row r="908" spans="11:14" ht="13" x14ac:dyDescent="0.15">
      <c r="K908" s="10"/>
      <c r="L908" s="10"/>
      <c r="M908" s="10"/>
      <c r="N908" s="10"/>
    </row>
    <row r="909" spans="11:14" ht="13" x14ac:dyDescent="0.15">
      <c r="K909" s="10"/>
      <c r="L909" s="10"/>
      <c r="M909" s="10"/>
      <c r="N909" s="10"/>
    </row>
    <row r="910" spans="11:14" ht="13" x14ac:dyDescent="0.15">
      <c r="K910" s="10"/>
      <c r="L910" s="10"/>
      <c r="M910" s="10"/>
      <c r="N910" s="10"/>
    </row>
    <row r="911" spans="11:14" ht="13" x14ac:dyDescent="0.15">
      <c r="K911" s="10"/>
      <c r="L911" s="10"/>
      <c r="M911" s="10"/>
      <c r="N911" s="10"/>
    </row>
    <row r="912" spans="11:14" ht="13" x14ac:dyDescent="0.15">
      <c r="K912" s="10"/>
      <c r="L912" s="10"/>
      <c r="M912" s="10"/>
      <c r="N912" s="10"/>
    </row>
    <row r="913" spans="11:14" ht="13" x14ac:dyDescent="0.15">
      <c r="K913" s="10"/>
      <c r="L913" s="10"/>
      <c r="M913" s="10"/>
      <c r="N913" s="10"/>
    </row>
    <row r="914" spans="11:14" ht="13" x14ac:dyDescent="0.15">
      <c r="K914" s="10"/>
      <c r="L914" s="10"/>
      <c r="M914" s="10"/>
      <c r="N914" s="10"/>
    </row>
    <row r="915" spans="11:14" ht="13" x14ac:dyDescent="0.15">
      <c r="K915" s="10"/>
      <c r="L915" s="10"/>
      <c r="M915" s="10"/>
      <c r="N915" s="10"/>
    </row>
    <row r="916" spans="11:14" ht="13" x14ac:dyDescent="0.15">
      <c r="K916" s="10"/>
      <c r="L916" s="10"/>
      <c r="M916" s="10"/>
      <c r="N916" s="10"/>
    </row>
    <row r="917" spans="11:14" ht="13" x14ac:dyDescent="0.15">
      <c r="K917" s="10"/>
      <c r="L917" s="10"/>
      <c r="M917" s="10"/>
      <c r="N917" s="10"/>
    </row>
    <row r="918" spans="11:14" ht="13" x14ac:dyDescent="0.15">
      <c r="K918" s="10"/>
      <c r="L918" s="10"/>
      <c r="M918" s="10"/>
      <c r="N918" s="10"/>
    </row>
    <row r="919" spans="11:14" ht="13" x14ac:dyDescent="0.15">
      <c r="K919" s="10"/>
      <c r="L919" s="10"/>
      <c r="M919" s="10"/>
      <c r="N919" s="10"/>
    </row>
    <row r="920" spans="11:14" ht="13" x14ac:dyDescent="0.15">
      <c r="K920" s="10"/>
      <c r="L920" s="10"/>
      <c r="M920" s="10"/>
      <c r="N920" s="10"/>
    </row>
    <row r="921" spans="11:14" ht="13" x14ac:dyDescent="0.15">
      <c r="K921" s="10"/>
      <c r="L921" s="10"/>
      <c r="M921" s="10"/>
      <c r="N921" s="10"/>
    </row>
    <row r="922" spans="11:14" ht="13" x14ac:dyDescent="0.15">
      <c r="K922" s="10"/>
      <c r="L922" s="10"/>
      <c r="M922" s="10"/>
      <c r="N922" s="10"/>
    </row>
    <row r="923" spans="11:14" ht="13" x14ac:dyDescent="0.15">
      <c r="K923" s="10"/>
      <c r="L923" s="10"/>
      <c r="M923" s="10"/>
      <c r="N923" s="10"/>
    </row>
    <row r="924" spans="11:14" ht="13" x14ac:dyDescent="0.15">
      <c r="K924" s="10"/>
      <c r="L924" s="10"/>
      <c r="M924" s="10"/>
      <c r="N924" s="10"/>
    </row>
    <row r="925" spans="11:14" ht="13" x14ac:dyDescent="0.15">
      <c r="K925" s="10"/>
      <c r="L925" s="10"/>
      <c r="M925" s="10"/>
      <c r="N925" s="10"/>
    </row>
    <row r="926" spans="11:14" ht="13" x14ac:dyDescent="0.15">
      <c r="K926" s="10"/>
      <c r="L926" s="10"/>
      <c r="M926" s="10"/>
      <c r="N926" s="10"/>
    </row>
    <row r="927" spans="11:14" ht="13" x14ac:dyDescent="0.15">
      <c r="K927" s="10"/>
      <c r="L927" s="10"/>
      <c r="M927" s="10"/>
      <c r="N927" s="10"/>
    </row>
    <row r="928" spans="11:14" ht="13" x14ac:dyDescent="0.15">
      <c r="K928" s="10"/>
      <c r="L928" s="10"/>
      <c r="M928" s="10"/>
      <c r="N928" s="10"/>
    </row>
    <row r="929" spans="11:14" ht="13" x14ac:dyDescent="0.15">
      <c r="K929" s="10"/>
      <c r="L929" s="10"/>
      <c r="M929" s="10"/>
      <c r="N929" s="10"/>
    </row>
    <row r="930" spans="11:14" ht="13" x14ac:dyDescent="0.15">
      <c r="K930" s="10"/>
      <c r="L930" s="10"/>
      <c r="M930" s="10"/>
      <c r="N930" s="10"/>
    </row>
    <row r="931" spans="11:14" ht="13" x14ac:dyDescent="0.15">
      <c r="K931" s="10"/>
      <c r="L931" s="10"/>
      <c r="M931" s="10"/>
      <c r="N931" s="10"/>
    </row>
    <row r="932" spans="11:14" ht="13" x14ac:dyDescent="0.15">
      <c r="K932" s="10"/>
      <c r="L932" s="10"/>
      <c r="M932" s="10"/>
      <c r="N932" s="10"/>
    </row>
    <row r="933" spans="11:14" ht="13" x14ac:dyDescent="0.15">
      <c r="K933" s="10"/>
      <c r="L933" s="10"/>
      <c r="M933" s="10"/>
      <c r="N933" s="10"/>
    </row>
    <row r="934" spans="11:14" ht="13" x14ac:dyDescent="0.15">
      <c r="K934" s="10"/>
      <c r="L934" s="10"/>
      <c r="M934" s="10"/>
      <c r="N934" s="10"/>
    </row>
    <row r="935" spans="11:14" ht="13" x14ac:dyDescent="0.15">
      <c r="K935" s="10"/>
      <c r="L935" s="10"/>
      <c r="M935" s="10"/>
      <c r="N935" s="10"/>
    </row>
    <row r="936" spans="11:14" ht="13" x14ac:dyDescent="0.15">
      <c r="K936" s="10"/>
      <c r="L936" s="10"/>
      <c r="M936" s="10"/>
      <c r="N936" s="10"/>
    </row>
    <row r="937" spans="11:14" ht="13" x14ac:dyDescent="0.15">
      <c r="K937" s="10"/>
      <c r="L937" s="10"/>
      <c r="M937" s="10"/>
      <c r="N937" s="10"/>
    </row>
    <row r="938" spans="11:14" ht="13" x14ac:dyDescent="0.15">
      <c r="K938" s="10"/>
      <c r="L938" s="10"/>
      <c r="M938" s="10"/>
      <c r="N938" s="10"/>
    </row>
    <row r="939" spans="11:14" ht="13" x14ac:dyDescent="0.15">
      <c r="K939" s="10"/>
      <c r="L939" s="10"/>
      <c r="M939" s="10"/>
      <c r="N939" s="10"/>
    </row>
    <row r="940" spans="11:14" ht="13" x14ac:dyDescent="0.15">
      <c r="K940" s="10"/>
      <c r="L940" s="10"/>
      <c r="M940" s="10"/>
      <c r="N940" s="10"/>
    </row>
    <row r="941" spans="11:14" ht="13" x14ac:dyDescent="0.15">
      <c r="K941" s="10"/>
      <c r="L941" s="10"/>
      <c r="M941" s="10"/>
      <c r="N941" s="10"/>
    </row>
    <row r="942" spans="11:14" ht="13" x14ac:dyDescent="0.15">
      <c r="K942" s="10"/>
      <c r="L942" s="10"/>
      <c r="M942" s="10"/>
      <c r="N942" s="10"/>
    </row>
    <row r="943" spans="11:14" ht="13" x14ac:dyDescent="0.15">
      <c r="K943" s="10"/>
      <c r="L943" s="10"/>
      <c r="M943" s="10"/>
      <c r="N943" s="10"/>
    </row>
    <row r="944" spans="11:14" ht="13" x14ac:dyDescent="0.15">
      <c r="K944" s="10"/>
      <c r="L944" s="10"/>
      <c r="M944" s="10"/>
      <c r="N944" s="10"/>
    </row>
    <row r="945" spans="11:14" ht="13" x14ac:dyDescent="0.15">
      <c r="K945" s="10"/>
      <c r="L945" s="10"/>
      <c r="M945" s="10"/>
      <c r="N945" s="10"/>
    </row>
    <row r="946" spans="11:14" ht="13" x14ac:dyDescent="0.15">
      <c r="K946" s="10"/>
      <c r="L946" s="10"/>
      <c r="M946" s="10"/>
      <c r="N946" s="10"/>
    </row>
    <row r="947" spans="11:14" ht="13" x14ac:dyDescent="0.15">
      <c r="K947" s="10"/>
      <c r="L947" s="10"/>
      <c r="M947" s="10"/>
      <c r="N947" s="10"/>
    </row>
    <row r="948" spans="11:14" ht="13" x14ac:dyDescent="0.15">
      <c r="K948" s="10"/>
      <c r="L948" s="10"/>
      <c r="M948" s="10"/>
      <c r="N948" s="10"/>
    </row>
    <row r="949" spans="11:14" ht="13" x14ac:dyDescent="0.15">
      <c r="K949" s="10"/>
      <c r="L949" s="10"/>
      <c r="M949" s="10"/>
      <c r="N949" s="10"/>
    </row>
    <row r="950" spans="11:14" ht="13" x14ac:dyDescent="0.15">
      <c r="K950" s="10"/>
      <c r="L950" s="10"/>
      <c r="M950" s="10"/>
      <c r="N950" s="10"/>
    </row>
    <row r="951" spans="11:14" ht="13" x14ac:dyDescent="0.15">
      <c r="K951" s="10"/>
      <c r="L951" s="10"/>
      <c r="M951" s="10"/>
      <c r="N951" s="10"/>
    </row>
    <row r="952" spans="11:14" ht="13" x14ac:dyDescent="0.15">
      <c r="K952" s="10"/>
      <c r="L952" s="10"/>
      <c r="M952" s="10"/>
      <c r="N952" s="10"/>
    </row>
    <row r="953" spans="11:14" ht="13" x14ac:dyDescent="0.15">
      <c r="K953" s="10"/>
      <c r="L953" s="10"/>
      <c r="M953" s="10"/>
      <c r="N953" s="10"/>
    </row>
    <row r="954" spans="11:14" ht="13" x14ac:dyDescent="0.15">
      <c r="K954" s="10"/>
      <c r="L954" s="10"/>
      <c r="M954" s="10"/>
      <c r="N954" s="10"/>
    </row>
    <row r="955" spans="11:14" ht="13" x14ac:dyDescent="0.15">
      <c r="K955" s="10"/>
      <c r="L955" s="10"/>
      <c r="M955" s="10"/>
      <c r="N955" s="10"/>
    </row>
    <row r="956" spans="11:14" ht="13" x14ac:dyDescent="0.15">
      <c r="K956" s="10"/>
      <c r="L956" s="10"/>
      <c r="M956" s="10"/>
      <c r="N956" s="10"/>
    </row>
    <row r="957" spans="11:14" ht="13" x14ac:dyDescent="0.15">
      <c r="K957" s="10"/>
      <c r="L957" s="10"/>
      <c r="M957" s="10"/>
      <c r="N957" s="10"/>
    </row>
    <row r="958" spans="11:14" ht="13" x14ac:dyDescent="0.15">
      <c r="K958" s="10"/>
      <c r="L958" s="10"/>
      <c r="M958" s="10"/>
      <c r="N958" s="10"/>
    </row>
    <row r="959" spans="11:14" ht="13" x14ac:dyDescent="0.15">
      <c r="K959" s="10"/>
      <c r="L959" s="10"/>
      <c r="M959" s="10"/>
      <c r="N959" s="10"/>
    </row>
    <row r="960" spans="11:14" ht="13" x14ac:dyDescent="0.15">
      <c r="K960" s="10"/>
      <c r="L960" s="10"/>
      <c r="M960" s="10"/>
      <c r="N960" s="10"/>
    </row>
    <row r="961" spans="11:14" ht="13" x14ac:dyDescent="0.15">
      <c r="K961" s="10"/>
      <c r="L961" s="10"/>
      <c r="M961" s="10"/>
      <c r="N961" s="10"/>
    </row>
    <row r="962" spans="11:14" ht="13" x14ac:dyDescent="0.15">
      <c r="K962" s="10"/>
      <c r="L962" s="10"/>
      <c r="M962" s="10"/>
      <c r="N962" s="10"/>
    </row>
    <row r="963" spans="11:14" ht="13" x14ac:dyDescent="0.15">
      <c r="K963" s="10"/>
      <c r="L963" s="10"/>
      <c r="M963" s="10"/>
      <c r="N963" s="10"/>
    </row>
    <row r="964" spans="11:14" ht="13" x14ac:dyDescent="0.15">
      <c r="K964" s="10"/>
      <c r="L964" s="10"/>
      <c r="M964" s="10"/>
      <c r="N964" s="10"/>
    </row>
    <row r="965" spans="11:14" ht="13" x14ac:dyDescent="0.15">
      <c r="K965" s="10"/>
      <c r="L965" s="10"/>
      <c r="M965" s="10"/>
      <c r="N965" s="10"/>
    </row>
    <row r="966" spans="11:14" ht="13" x14ac:dyDescent="0.15">
      <c r="K966" s="10"/>
      <c r="L966" s="10"/>
      <c r="M966" s="10"/>
      <c r="N966" s="10"/>
    </row>
    <row r="967" spans="11:14" ht="13" x14ac:dyDescent="0.15">
      <c r="K967" s="10"/>
      <c r="L967" s="10"/>
      <c r="M967" s="10"/>
      <c r="N967" s="10"/>
    </row>
    <row r="968" spans="11:14" ht="13" x14ac:dyDescent="0.15">
      <c r="K968" s="10"/>
      <c r="L968" s="10"/>
      <c r="M968" s="10"/>
      <c r="N968" s="10"/>
    </row>
    <row r="969" spans="11:14" ht="13" x14ac:dyDescent="0.15">
      <c r="K969" s="10"/>
      <c r="L969" s="10"/>
      <c r="M969" s="10"/>
      <c r="N969" s="10"/>
    </row>
    <row r="970" spans="11:14" ht="13" x14ac:dyDescent="0.15">
      <c r="K970" s="10"/>
      <c r="L970" s="10"/>
      <c r="M970" s="10"/>
      <c r="N970" s="10"/>
    </row>
    <row r="971" spans="11:14" ht="13" x14ac:dyDescent="0.15">
      <c r="K971" s="10"/>
      <c r="L971" s="10"/>
      <c r="M971" s="10"/>
      <c r="N971" s="10"/>
    </row>
    <row r="972" spans="11:14" ht="13" x14ac:dyDescent="0.15">
      <c r="K972" s="10"/>
      <c r="L972" s="10"/>
      <c r="M972" s="10"/>
      <c r="N972" s="10"/>
    </row>
    <row r="973" spans="11:14" ht="13" x14ac:dyDescent="0.15">
      <c r="K973" s="10"/>
      <c r="L973" s="10"/>
      <c r="M973" s="10"/>
      <c r="N973" s="10"/>
    </row>
    <row r="974" spans="11:14" ht="13" x14ac:dyDescent="0.15">
      <c r="K974" s="10"/>
      <c r="L974" s="10"/>
      <c r="M974" s="10"/>
      <c r="N974" s="10"/>
    </row>
    <row r="975" spans="11:14" ht="13" x14ac:dyDescent="0.15">
      <c r="K975" s="10"/>
      <c r="L975" s="10"/>
      <c r="M975" s="10"/>
      <c r="N975" s="10"/>
    </row>
    <row r="976" spans="11:14" ht="13" x14ac:dyDescent="0.15">
      <c r="K976" s="10"/>
      <c r="L976" s="10"/>
      <c r="M976" s="10"/>
      <c r="N976" s="10"/>
    </row>
    <row r="977" spans="11:14" ht="13" x14ac:dyDescent="0.15">
      <c r="K977" s="10"/>
      <c r="L977" s="10"/>
      <c r="M977" s="10"/>
      <c r="N977" s="10"/>
    </row>
    <row r="978" spans="11:14" ht="13" x14ac:dyDescent="0.15">
      <c r="K978" s="10"/>
      <c r="L978" s="10"/>
      <c r="M978" s="10"/>
      <c r="N978" s="10"/>
    </row>
    <row r="979" spans="11:14" ht="13" x14ac:dyDescent="0.15">
      <c r="K979" s="10"/>
      <c r="L979" s="10"/>
      <c r="M979" s="10"/>
      <c r="N979" s="10"/>
    </row>
    <row r="980" spans="11:14" ht="13" x14ac:dyDescent="0.15">
      <c r="K980" s="10"/>
      <c r="L980" s="10"/>
      <c r="M980" s="10"/>
      <c r="N980" s="10"/>
    </row>
    <row r="981" spans="11:14" ht="13" x14ac:dyDescent="0.15">
      <c r="K981" s="10"/>
      <c r="L981" s="10"/>
      <c r="M981" s="10"/>
      <c r="N981" s="10"/>
    </row>
    <row r="982" spans="11:14" ht="13" x14ac:dyDescent="0.15">
      <c r="K982" s="10"/>
      <c r="L982" s="10"/>
      <c r="M982" s="10"/>
      <c r="N982" s="10"/>
    </row>
    <row r="983" spans="11:14" ht="13" x14ac:dyDescent="0.15">
      <c r="K983" s="10"/>
      <c r="L983" s="10"/>
      <c r="M983" s="10"/>
      <c r="N983" s="10"/>
    </row>
    <row r="984" spans="11:14" ht="13" x14ac:dyDescent="0.15">
      <c r="K984" s="10"/>
      <c r="L984" s="10"/>
      <c r="M984" s="10"/>
      <c r="N984" s="10"/>
    </row>
    <row r="985" spans="11:14" ht="13" x14ac:dyDescent="0.15">
      <c r="K985" s="10"/>
      <c r="L985" s="10"/>
      <c r="M985" s="10"/>
      <c r="N985" s="10"/>
    </row>
    <row r="986" spans="11:14" ht="13" x14ac:dyDescent="0.15">
      <c r="K986" s="10"/>
      <c r="L986" s="10"/>
      <c r="M986" s="10"/>
      <c r="N986" s="10"/>
    </row>
    <row r="987" spans="11:14" ht="13" x14ac:dyDescent="0.15">
      <c r="K987" s="10"/>
      <c r="L987" s="10"/>
      <c r="M987" s="10"/>
      <c r="N987" s="10"/>
    </row>
    <row r="988" spans="11:14" ht="13" x14ac:dyDescent="0.15">
      <c r="K988" s="10"/>
      <c r="L988" s="10"/>
      <c r="M988" s="10"/>
      <c r="N988" s="10"/>
    </row>
    <row r="989" spans="11:14" ht="13" x14ac:dyDescent="0.15">
      <c r="K989" s="10"/>
      <c r="L989" s="10"/>
      <c r="M989" s="10"/>
      <c r="N989" s="10"/>
    </row>
    <row r="990" spans="11:14" ht="13" x14ac:dyDescent="0.15">
      <c r="K990" s="10"/>
      <c r="L990" s="10"/>
      <c r="M990" s="10"/>
      <c r="N990" s="10"/>
    </row>
    <row r="991" spans="11:14" ht="13" x14ac:dyDescent="0.15">
      <c r="K991" s="10"/>
      <c r="L991" s="10"/>
      <c r="M991" s="10"/>
      <c r="N991" s="10"/>
    </row>
    <row r="992" spans="11:14" ht="13" x14ac:dyDescent="0.15">
      <c r="K992" s="10"/>
      <c r="L992" s="10"/>
      <c r="M992" s="10"/>
      <c r="N992" s="10"/>
    </row>
    <row r="993" spans="11:14" ht="13" x14ac:dyDescent="0.15">
      <c r="K993" s="10"/>
      <c r="L993" s="10"/>
      <c r="M993" s="10"/>
      <c r="N993" s="10"/>
    </row>
    <row r="994" spans="11:14" ht="13" x14ac:dyDescent="0.15">
      <c r="K994" s="10"/>
      <c r="L994" s="10"/>
      <c r="M994" s="10"/>
      <c r="N994" s="10"/>
    </row>
    <row r="995" spans="11:14" ht="13" x14ac:dyDescent="0.15">
      <c r="K995" s="10"/>
      <c r="L995" s="10"/>
      <c r="M995" s="10"/>
      <c r="N995" s="10"/>
    </row>
    <row r="996" spans="11:14" ht="13" x14ac:dyDescent="0.15">
      <c r="K996" s="10"/>
      <c r="L996" s="10"/>
      <c r="M996" s="10"/>
      <c r="N996" s="10"/>
    </row>
    <row r="997" spans="11:14" ht="13" x14ac:dyDescent="0.15">
      <c r="K997" s="10"/>
      <c r="L997" s="10"/>
      <c r="M997" s="10"/>
      <c r="N997" s="10"/>
    </row>
    <row r="998" spans="11:14" ht="13" x14ac:dyDescent="0.15">
      <c r="K998" s="10"/>
      <c r="L998" s="10"/>
      <c r="M998" s="10"/>
      <c r="N998" s="10"/>
    </row>
    <row r="999" spans="11:14" ht="13" x14ac:dyDescent="0.15">
      <c r="K999" s="10"/>
      <c r="L999" s="10"/>
      <c r="M999" s="10"/>
      <c r="N999" s="10"/>
    </row>
    <row r="1000" spans="11:14" ht="13" x14ac:dyDescent="0.15">
      <c r="K1000" s="10"/>
      <c r="L1000" s="10"/>
      <c r="M1000" s="10"/>
      <c r="N1000" s="10"/>
    </row>
    <row r="1001" spans="11:14" ht="13" x14ac:dyDescent="0.15">
      <c r="K1001" s="10"/>
      <c r="L1001" s="10"/>
      <c r="M1001" s="10"/>
      <c r="N1001" s="10"/>
    </row>
  </sheetData>
  <mergeCells count="2">
    <mergeCell ref="B1:G1"/>
    <mergeCell ref="H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5.83203125" customWidth="1"/>
  </cols>
  <sheetData>
    <row r="1" spans="1:26" ht="15.75" customHeight="1" x14ac:dyDescent="0.15">
      <c r="A1" s="1" t="s">
        <v>50</v>
      </c>
      <c r="B1" s="1" t="s">
        <v>110</v>
      </c>
      <c r="C1" s="1" t="s">
        <v>111</v>
      </c>
      <c r="D1" s="1" t="s">
        <v>112</v>
      </c>
      <c r="E1" s="1" t="s">
        <v>113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0" t="s">
        <v>43</v>
      </c>
      <c r="B2" s="10" t="s">
        <v>114</v>
      </c>
      <c r="C2" s="11">
        <v>0.41666666666666669</v>
      </c>
      <c r="D2" s="10" t="s">
        <v>115</v>
      </c>
      <c r="E2" s="10" t="s">
        <v>116</v>
      </c>
    </row>
    <row r="3" spans="1:26" ht="15.75" customHeight="1" x14ac:dyDescent="0.15">
      <c r="A3" s="10" t="s">
        <v>117</v>
      </c>
      <c r="B3" s="10" t="s">
        <v>114</v>
      </c>
      <c r="C3" s="11">
        <v>0.42222222222222222</v>
      </c>
      <c r="D3" s="10" t="s">
        <v>115</v>
      </c>
      <c r="E3" s="10" t="s">
        <v>118</v>
      </c>
    </row>
    <row r="4" spans="1:26" ht="15.75" customHeight="1" x14ac:dyDescent="0.15">
      <c r="A4" s="10" t="s">
        <v>26</v>
      </c>
      <c r="C4" s="12">
        <v>0.43611111111111112</v>
      </c>
      <c r="D4" s="10" t="s">
        <v>115</v>
      </c>
    </row>
    <row r="5" spans="1:26" ht="15.75" customHeight="1" x14ac:dyDescent="0.15">
      <c r="A5" s="10" t="s">
        <v>119</v>
      </c>
      <c r="C5" s="12">
        <v>0.44374999999999998</v>
      </c>
      <c r="D5" s="10" t="s">
        <v>115</v>
      </c>
    </row>
    <row r="6" spans="1:26" ht="15.75" customHeight="1" x14ac:dyDescent="0.15">
      <c r="A6" s="10" t="s">
        <v>32</v>
      </c>
      <c r="C6" s="12">
        <v>0.4513888888888889</v>
      </c>
      <c r="D6" s="10" t="s">
        <v>115</v>
      </c>
      <c r="E6" s="4" t="s">
        <v>120</v>
      </c>
    </row>
    <row r="7" spans="1:26" ht="15.75" customHeight="1" x14ac:dyDescent="0.15">
      <c r="A7" s="10" t="s">
        <v>121</v>
      </c>
      <c r="C7" s="12"/>
      <c r="D7" s="10" t="s">
        <v>115</v>
      </c>
    </row>
    <row r="8" spans="1:26" ht="15.75" customHeight="1" x14ac:dyDescent="0.15">
      <c r="A8" s="10" t="s">
        <v>122</v>
      </c>
      <c r="C8" s="12"/>
      <c r="D8" s="10" t="s">
        <v>115</v>
      </c>
      <c r="E8" s="4" t="s">
        <v>120</v>
      </c>
    </row>
    <row r="9" spans="1:26" ht="15.75" customHeight="1" x14ac:dyDescent="0.15">
      <c r="A9" s="10" t="s">
        <v>40</v>
      </c>
      <c r="C9" s="12"/>
      <c r="D9" s="10" t="s">
        <v>115</v>
      </c>
    </row>
    <row r="10" spans="1:26" ht="15.75" customHeight="1" x14ac:dyDescent="0.15">
      <c r="A10" s="10" t="s">
        <v>37</v>
      </c>
      <c r="C10" s="12"/>
      <c r="D10" s="10" t="s">
        <v>115</v>
      </c>
    </row>
    <row r="11" spans="1:26" ht="15.75" customHeight="1" x14ac:dyDescent="0.15">
      <c r="A11" s="10" t="s">
        <v>123</v>
      </c>
      <c r="C11" s="12"/>
      <c r="D11" s="10" t="s">
        <v>115</v>
      </c>
      <c r="E11" s="4" t="s">
        <v>124</v>
      </c>
    </row>
    <row r="12" spans="1:26" ht="15.75" customHeight="1" x14ac:dyDescent="0.15">
      <c r="A12" s="10" t="s">
        <v>46</v>
      </c>
      <c r="C12" s="12"/>
      <c r="D12" s="10" t="s">
        <v>125</v>
      </c>
    </row>
    <row r="13" spans="1:26" ht="15.75" customHeight="1" x14ac:dyDescent="0.15">
      <c r="A13" s="10" t="s">
        <v>126</v>
      </c>
      <c r="D13" s="10"/>
    </row>
    <row r="14" spans="1:26" ht="15.75" customHeight="1" x14ac:dyDescent="0.15">
      <c r="A14" s="10" t="s">
        <v>127</v>
      </c>
      <c r="D14" s="10"/>
    </row>
    <row r="15" spans="1:26" ht="15.75" customHeight="1" x14ac:dyDescent="0.15">
      <c r="A15" s="10" t="s">
        <v>128</v>
      </c>
      <c r="D15" s="10"/>
    </row>
    <row r="16" spans="1:26" ht="15.75" customHeight="1" x14ac:dyDescent="0.15">
      <c r="A16" s="10" t="s">
        <v>129</v>
      </c>
      <c r="D16" s="10" t="s">
        <v>130</v>
      </c>
    </row>
    <row r="17" spans="1:4" ht="15.75" customHeight="1" x14ac:dyDescent="0.15">
      <c r="A17" s="10"/>
      <c r="D17" s="10"/>
    </row>
    <row r="18" spans="1:4" ht="15.75" customHeight="1" x14ac:dyDescent="0.15">
      <c r="A18" s="10"/>
      <c r="D18" s="10"/>
    </row>
    <row r="19" spans="1:4" ht="15.75" customHeight="1" x14ac:dyDescent="0.15">
      <c r="A19" s="10"/>
      <c r="C19" s="12"/>
      <c r="D19" s="10"/>
    </row>
    <row r="20" spans="1:4" ht="15.75" customHeight="1" x14ac:dyDescent="0.15">
      <c r="A20" s="10"/>
      <c r="D20" s="10"/>
    </row>
    <row r="21" spans="1:4" ht="15.75" customHeight="1" x14ac:dyDescent="0.15">
      <c r="A21" s="10"/>
      <c r="D21" s="10"/>
    </row>
    <row r="22" spans="1:4" ht="15.75" customHeight="1" x14ac:dyDescent="0.15">
      <c r="A22" s="10"/>
      <c r="D22" s="10"/>
    </row>
    <row r="23" spans="1:4" ht="15.75" customHeight="1" x14ac:dyDescent="0.15">
      <c r="A23" s="10"/>
      <c r="D23" s="10"/>
    </row>
    <row r="24" spans="1:4" ht="15.75" customHeight="1" x14ac:dyDescent="0.15">
      <c r="A24" s="10"/>
      <c r="D24" s="10"/>
    </row>
    <row r="25" spans="1:4" ht="15.75" customHeight="1" x14ac:dyDescent="0.15">
      <c r="A25" s="10"/>
      <c r="D25" s="10"/>
    </row>
    <row r="26" spans="1:4" ht="15.75" customHeight="1" x14ac:dyDescent="0.15">
      <c r="A26" s="10"/>
      <c r="D26" s="10"/>
    </row>
    <row r="27" spans="1:4" ht="15.75" customHeight="1" x14ac:dyDescent="0.15">
      <c r="A27" s="10"/>
      <c r="D27" s="10"/>
    </row>
    <row r="28" spans="1:4" ht="15.75" customHeight="1" x14ac:dyDescent="0.15">
      <c r="A28" s="10"/>
      <c r="D28" s="10"/>
    </row>
    <row r="29" spans="1:4" ht="15.75" customHeight="1" x14ac:dyDescent="0.15">
      <c r="A29" s="10"/>
      <c r="D29" s="10"/>
    </row>
    <row r="30" spans="1:4" ht="15.75" customHeight="1" x14ac:dyDescent="0.15">
      <c r="A30" s="10"/>
      <c r="D30" s="10"/>
    </row>
    <row r="31" spans="1:4" ht="15.75" customHeight="1" x14ac:dyDescent="0.15">
      <c r="A31" s="10"/>
      <c r="D31" s="10"/>
    </row>
    <row r="32" spans="1:4" ht="15.75" customHeight="1" x14ac:dyDescent="0.15">
      <c r="A32" s="10"/>
      <c r="D32" s="10"/>
    </row>
    <row r="33" spans="1:4" ht="15.75" customHeight="1" x14ac:dyDescent="0.15">
      <c r="A33" s="10"/>
      <c r="D33" s="10"/>
    </row>
    <row r="34" spans="1:4" ht="15.75" customHeight="1" x14ac:dyDescent="0.15">
      <c r="A34" s="10"/>
      <c r="D34" s="10"/>
    </row>
    <row r="35" spans="1:4" ht="15.75" customHeight="1" x14ac:dyDescent="0.15">
      <c r="A35" s="10"/>
      <c r="D35" s="10"/>
    </row>
    <row r="36" spans="1:4" ht="15.75" customHeight="1" x14ac:dyDescent="0.15">
      <c r="A36" s="10"/>
      <c r="D36" s="10"/>
    </row>
    <row r="37" spans="1:4" ht="15.75" customHeight="1" x14ac:dyDescent="0.15">
      <c r="A37" s="10"/>
      <c r="D37" s="10"/>
    </row>
    <row r="38" spans="1:4" ht="15.75" customHeight="1" x14ac:dyDescent="0.15">
      <c r="A38" s="10"/>
      <c r="D38" s="10"/>
    </row>
    <row r="39" spans="1:4" ht="15.75" customHeight="1" x14ac:dyDescent="0.15">
      <c r="A39" s="10"/>
      <c r="D39" s="10"/>
    </row>
    <row r="40" spans="1:4" ht="15.75" customHeight="1" x14ac:dyDescent="0.15">
      <c r="A40" s="10"/>
      <c r="D40" s="10"/>
    </row>
    <row r="41" spans="1:4" ht="15.75" customHeight="1" x14ac:dyDescent="0.15">
      <c r="A41" s="10"/>
      <c r="D41" s="10"/>
    </row>
    <row r="42" spans="1:4" ht="15.75" customHeight="1" x14ac:dyDescent="0.15">
      <c r="A42" s="10"/>
      <c r="D42" s="10"/>
    </row>
    <row r="43" spans="1:4" ht="15.75" customHeight="1" x14ac:dyDescent="0.15">
      <c r="A43" s="10"/>
      <c r="D43" s="10"/>
    </row>
    <row r="44" spans="1:4" ht="15.75" customHeight="1" x14ac:dyDescent="0.15">
      <c r="A44" s="10"/>
      <c r="D44" s="10"/>
    </row>
    <row r="45" spans="1:4" ht="15.75" customHeight="1" x14ac:dyDescent="0.15">
      <c r="A45" s="10"/>
      <c r="D45" s="10"/>
    </row>
    <row r="46" spans="1:4" ht="15.75" customHeight="1" x14ac:dyDescent="0.15">
      <c r="A46" s="10"/>
      <c r="D46" s="10"/>
    </row>
    <row r="47" spans="1:4" ht="15.75" customHeight="1" x14ac:dyDescent="0.15">
      <c r="A47" s="10"/>
      <c r="D47" s="10"/>
    </row>
    <row r="48" spans="1:4" ht="15.75" customHeight="1" x14ac:dyDescent="0.15">
      <c r="A48" s="10"/>
      <c r="D48" s="10"/>
    </row>
    <row r="49" spans="1:4" ht="15.75" customHeight="1" x14ac:dyDescent="0.15">
      <c r="A49" s="10"/>
      <c r="D49" s="10"/>
    </row>
    <row r="50" spans="1:4" ht="15.75" customHeight="1" x14ac:dyDescent="0.15">
      <c r="A50" s="10"/>
      <c r="D50" s="10"/>
    </row>
    <row r="51" spans="1:4" ht="15.75" customHeight="1" x14ac:dyDescent="0.15">
      <c r="A51" s="10"/>
      <c r="D51" s="10"/>
    </row>
    <row r="52" spans="1:4" ht="15.75" customHeight="1" x14ac:dyDescent="0.15">
      <c r="A52" s="10"/>
      <c r="D52" s="10"/>
    </row>
    <row r="53" spans="1:4" ht="15.75" customHeight="1" x14ac:dyDescent="0.15">
      <c r="A53" s="10"/>
      <c r="D53" s="10"/>
    </row>
    <row r="54" spans="1:4" ht="15.75" customHeight="1" x14ac:dyDescent="0.15">
      <c r="A54" s="10"/>
      <c r="D54" s="10"/>
    </row>
    <row r="55" spans="1:4" ht="15.75" customHeight="1" x14ac:dyDescent="0.15">
      <c r="A55" s="10"/>
      <c r="D55" s="10"/>
    </row>
    <row r="56" spans="1:4" ht="15.75" customHeight="1" x14ac:dyDescent="0.15">
      <c r="A56" s="10"/>
      <c r="D56" s="10"/>
    </row>
    <row r="57" spans="1:4" ht="13" x14ac:dyDescent="0.15">
      <c r="A57" s="10"/>
      <c r="D57" s="10"/>
    </row>
    <row r="58" spans="1:4" ht="13" x14ac:dyDescent="0.15">
      <c r="A58" s="10"/>
      <c r="D58" s="10"/>
    </row>
    <row r="59" spans="1:4" ht="13" x14ac:dyDescent="0.15">
      <c r="A59" s="10"/>
      <c r="D59" s="10"/>
    </row>
    <row r="60" spans="1:4" ht="13" x14ac:dyDescent="0.15">
      <c r="A60" s="10"/>
      <c r="D60" s="10"/>
    </row>
    <row r="61" spans="1:4" ht="13" x14ac:dyDescent="0.15">
      <c r="A61" s="10"/>
      <c r="D61" s="10"/>
    </row>
    <row r="62" spans="1:4" ht="13" x14ac:dyDescent="0.15">
      <c r="A62" s="10"/>
      <c r="D62" s="10"/>
    </row>
    <row r="63" spans="1:4" ht="13" x14ac:dyDescent="0.15">
      <c r="A63" s="10"/>
      <c r="D63" s="10"/>
    </row>
    <row r="64" spans="1:4" ht="13" x14ac:dyDescent="0.15">
      <c r="A64" s="10"/>
      <c r="D64" s="10"/>
    </row>
    <row r="65" spans="1:4" ht="13" x14ac:dyDescent="0.15">
      <c r="A65" s="10"/>
      <c r="D65" s="10"/>
    </row>
    <row r="66" spans="1:4" ht="13" x14ac:dyDescent="0.15">
      <c r="A66" s="10"/>
      <c r="D66" s="10"/>
    </row>
    <row r="67" spans="1:4" ht="13" x14ac:dyDescent="0.15">
      <c r="A67" s="10"/>
      <c r="D67" s="10"/>
    </row>
    <row r="68" spans="1:4" ht="13" x14ac:dyDescent="0.15">
      <c r="A68" s="10"/>
      <c r="D68" s="10"/>
    </row>
    <row r="69" spans="1:4" ht="13" x14ac:dyDescent="0.15">
      <c r="A69" s="10"/>
      <c r="D69" s="10"/>
    </row>
    <row r="70" spans="1:4" ht="13" x14ac:dyDescent="0.15">
      <c r="A70" s="10"/>
      <c r="D70" s="10"/>
    </row>
    <row r="71" spans="1:4" ht="13" x14ac:dyDescent="0.15">
      <c r="A71" s="10"/>
      <c r="D71" s="10"/>
    </row>
    <row r="72" spans="1:4" ht="13" x14ac:dyDescent="0.15">
      <c r="A72" s="10"/>
      <c r="D72" s="10"/>
    </row>
    <row r="73" spans="1:4" ht="13" x14ac:dyDescent="0.15">
      <c r="A73" s="10"/>
      <c r="D73" s="10"/>
    </row>
    <row r="74" spans="1:4" ht="13" x14ac:dyDescent="0.15">
      <c r="A74" s="10"/>
      <c r="D74" s="10"/>
    </row>
    <row r="75" spans="1:4" ht="13" x14ac:dyDescent="0.15">
      <c r="A75" s="10"/>
      <c r="D75" s="10"/>
    </row>
    <row r="76" spans="1:4" ht="13" x14ac:dyDescent="0.15">
      <c r="A76" s="10"/>
      <c r="D76" s="10"/>
    </row>
    <row r="77" spans="1:4" ht="13" x14ac:dyDescent="0.15">
      <c r="A77" s="10"/>
      <c r="D77" s="10"/>
    </row>
    <row r="78" spans="1:4" ht="13" x14ac:dyDescent="0.15">
      <c r="A78" s="10"/>
      <c r="D78" s="10"/>
    </row>
    <row r="79" spans="1:4" ht="13" x14ac:dyDescent="0.15">
      <c r="A79" s="10"/>
      <c r="D79" s="10"/>
    </row>
    <row r="80" spans="1:4" ht="13" x14ac:dyDescent="0.15">
      <c r="A80" s="10"/>
      <c r="D80" s="10"/>
    </row>
    <row r="81" spans="1:4" ht="13" x14ac:dyDescent="0.15">
      <c r="A81" s="10"/>
      <c r="D81" s="10"/>
    </row>
    <row r="82" spans="1:4" ht="13" x14ac:dyDescent="0.15">
      <c r="A82" s="10"/>
      <c r="D82" s="10"/>
    </row>
    <row r="83" spans="1:4" ht="13" x14ac:dyDescent="0.15">
      <c r="A83" s="10"/>
      <c r="D83" s="10"/>
    </row>
    <row r="84" spans="1:4" ht="13" x14ac:dyDescent="0.15">
      <c r="A84" s="10"/>
      <c r="D84" s="10"/>
    </row>
    <row r="85" spans="1:4" ht="13" x14ac:dyDescent="0.15">
      <c r="A85" s="10"/>
      <c r="D85" s="10"/>
    </row>
    <row r="86" spans="1:4" ht="13" x14ac:dyDescent="0.15">
      <c r="A86" s="10"/>
      <c r="D86" s="10"/>
    </row>
    <row r="87" spans="1:4" ht="13" x14ac:dyDescent="0.15">
      <c r="A87" s="10"/>
      <c r="D87" s="10"/>
    </row>
    <row r="88" spans="1:4" ht="13" x14ac:dyDescent="0.15">
      <c r="A88" s="10"/>
      <c r="D88" s="10"/>
    </row>
    <row r="89" spans="1:4" ht="13" x14ac:dyDescent="0.15">
      <c r="A89" s="10"/>
      <c r="D89" s="10"/>
    </row>
    <row r="90" spans="1:4" ht="13" x14ac:dyDescent="0.15">
      <c r="A90" s="10"/>
      <c r="D90" s="10"/>
    </row>
    <row r="91" spans="1:4" ht="13" x14ac:dyDescent="0.15">
      <c r="A91" s="10"/>
      <c r="D91" s="10"/>
    </row>
    <row r="92" spans="1:4" ht="13" x14ac:dyDescent="0.15">
      <c r="A92" s="10"/>
      <c r="D92" s="10"/>
    </row>
    <row r="93" spans="1:4" ht="13" x14ac:dyDescent="0.15">
      <c r="A93" s="10"/>
      <c r="D93" s="10"/>
    </row>
    <row r="94" spans="1:4" ht="13" x14ac:dyDescent="0.15">
      <c r="A94" s="10"/>
      <c r="D94" s="10"/>
    </row>
    <row r="95" spans="1:4" ht="13" x14ac:dyDescent="0.15">
      <c r="A95" s="10"/>
      <c r="D95" s="10"/>
    </row>
    <row r="96" spans="1:4" ht="13" x14ac:dyDescent="0.15">
      <c r="A96" s="10"/>
      <c r="D96" s="10"/>
    </row>
    <row r="97" spans="1:4" ht="13" x14ac:dyDescent="0.15">
      <c r="A97" s="10"/>
      <c r="D97" s="10"/>
    </row>
    <row r="98" spans="1:4" ht="13" x14ac:dyDescent="0.15">
      <c r="A98" s="10"/>
      <c r="D98" s="10"/>
    </row>
    <row r="99" spans="1:4" ht="13" x14ac:dyDescent="0.15">
      <c r="A99" s="10"/>
      <c r="D99" s="10"/>
    </row>
    <row r="100" spans="1:4" ht="13" x14ac:dyDescent="0.15">
      <c r="A100" s="10"/>
      <c r="D100" s="10"/>
    </row>
    <row r="101" spans="1:4" ht="13" x14ac:dyDescent="0.15">
      <c r="A101" s="10"/>
      <c r="D101" s="10"/>
    </row>
    <row r="102" spans="1:4" ht="13" x14ac:dyDescent="0.15">
      <c r="A102" s="10"/>
      <c r="D102" s="10"/>
    </row>
    <row r="103" spans="1:4" ht="13" x14ac:dyDescent="0.15">
      <c r="A103" s="10"/>
      <c r="D103" s="10"/>
    </row>
    <row r="104" spans="1:4" ht="13" x14ac:dyDescent="0.15">
      <c r="A104" s="10"/>
      <c r="D104" s="10"/>
    </row>
    <row r="105" spans="1:4" ht="13" x14ac:dyDescent="0.15">
      <c r="A105" s="10"/>
      <c r="D105" s="10"/>
    </row>
    <row r="106" spans="1:4" ht="13" x14ac:dyDescent="0.15">
      <c r="A106" s="10"/>
      <c r="D106" s="10"/>
    </row>
    <row r="107" spans="1:4" ht="13" x14ac:dyDescent="0.15">
      <c r="A107" s="10"/>
      <c r="D107" s="10"/>
    </row>
    <row r="108" spans="1:4" ht="13" x14ac:dyDescent="0.15">
      <c r="A108" s="10"/>
      <c r="D108" s="10"/>
    </row>
    <row r="109" spans="1:4" ht="13" x14ac:dyDescent="0.15">
      <c r="A109" s="10"/>
      <c r="D109" s="10"/>
    </row>
    <row r="110" spans="1:4" ht="13" x14ac:dyDescent="0.15">
      <c r="A110" s="10"/>
      <c r="D110" s="10"/>
    </row>
    <row r="111" spans="1:4" ht="13" x14ac:dyDescent="0.15">
      <c r="A111" s="10"/>
      <c r="D111" s="10"/>
    </row>
    <row r="112" spans="1:4" ht="13" x14ac:dyDescent="0.15">
      <c r="A112" s="10"/>
      <c r="D112" s="10"/>
    </row>
    <row r="113" spans="1:4" ht="13" x14ac:dyDescent="0.15">
      <c r="A113" s="10"/>
      <c r="D113" s="10"/>
    </row>
    <row r="114" spans="1:4" ht="13" x14ac:dyDescent="0.15">
      <c r="A114" s="10"/>
      <c r="D114" s="10"/>
    </row>
    <row r="115" spans="1:4" ht="13" x14ac:dyDescent="0.15">
      <c r="A115" s="10"/>
      <c r="D115" s="10"/>
    </row>
    <row r="116" spans="1:4" ht="13" x14ac:dyDescent="0.15">
      <c r="A116" s="10"/>
      <c r="D116" s="10"/>
    </row>
    <row r="117" spans="1:4" ht="13" x14ac:dyDescent="0.15">
      <c r="A117" s="10"/>
      <c r="D117" s="10"/>
    </row>
    <row r="118" spans="1:4" ht="13" x14ac:dyDescent="0.15">
      <c r="A118" s="10"/>
      <c r="D118" s="10"/>
    </row>
    <row r="119" spans="1:4" ht="13" x14ac:dyDescent="0.15">
      <c r="A119" s="10"/>
      <c r="D119" s="10"/>
    </row>
    <row r="120" spans="1:4" ht="13" x14ac:dyDescent="0.15">
      <c r="A120" s="10"/>
      <c r="D120" s="10"/>
    </row>
    <row r="121" spans="1:4" ht="13" x14ac:dyDescent="0.15">
      <c r="A121" s="10"/>
      <c r="D121" s="10"/>
    </row>
    <row r="122" spans="1:4" ht="13" x14ac:dyDescent="0.15">
      <c r="A122" s="10"/>
      <c r="D122" s="10"/>
    </row>
    <row r="123" spans="1:4" ht="13" x14ac:dyDescent="0.15">
      <c r="A123" s="10"/>
      <c r="D123" s="10"/>
    </row>
    <row r="124" spans="1:4" ht="13" x14ac:dyDescent="0.15">
      <c r="A124" s="10"/>
      <c r="D124" s="10"/>
    </row>
    <row r="125" spans="1:4" ht="13" x14ac:dyDescent="0.15">
      <c r="A125" s="10"/>
      <c r="D125" s="10"/>
    </row>
    <row r="126" spans="1:4" ht="13" x14ac:dyDescent="0.15">
      <c r="A126" s="10"/>
      <c r="D126" s="10"/>
    </row>
    <row r="127" spans="1:4" ht="13" x14ac:dyDescent="0.15">
      <c r="A127" s="10"/>
      <c r="D127" s="10"/>
    </row>
    <row r="128" spans="1:4" ht="13" x14ac:dyDescent="0.15">
      <c r="A128" s="10"/>
      <c r="D128" s="10"/>
    </row>
    <row r="129" spans="1:4" ht="13" x14ac:dyDescent="0.15">
      <c r="A129" s="10"/>
      <c r="D129" s="10"/>
    </row>
    <row r="130" spans="1:4" ht="13" x14ac:dyDescent="0.15">
      <c r="A130" s="10"/>
      <c r="D130" s="10"/>
    </row>
    <row r="131" spans="1:4" ht="13" x14ac:dyDescent="0.15">
      <c r="A131" s="10"/>
      <c r="D131" s="10"/>
    </row>
    <row r="132" spans="1:4" ht="13" x14ac:dyDescent="0.15">
      <c r="A132" s="10"/>
      <c r="D132" s="10"/>
    </row>
    <row r="133" spans="1:4" ht="13" x14ac:dyDescent="0.15">
      <c r="A133" s="10"/>
      <c r="D133" s="10"/>
    </row>
    <row r="134" spans="1:4" ht="13" x14ac:dyDescent="0.15">
      <c r="A134" s="10"/>
      <c r="D134" s="10"/>
    </row>
    <row r="135" spans="1:4" ht="13" x14ac:dyDescent="0.15">
      <c r="A135" s="10"/>
      <c r="D135" s="10"/>
    </row>
    <row r="136" spans="1:4" ht="13" x14ac:dyDescent="0.15">
      <c r="A136" s="10"/>
      <c r="D136" s="10"/>
    </row>
    <row r="137" spans="1:4" ht="13" x14ac:dyDescent="0.15">
      <c r="A137" s="10"/>
      <c r="D137" s="10"/>
    </row>
    <row r="138" spans="1:4" ht="13" x14ac:dyDescent="0.15">
      <c r="A138" s="10"/>
      <c r="D138" s="10"/>
    </row>
    <row r="139" spans="1:4" ht="13" x14ac:dyDescent="0.15">
      <c r="A139" s="10"/>
      <c r="D139" s="10"/>
    </row>
    <row r="140" spans="1:4" ht="13" x14ac:dyDescent="0.15">
      <c r="A140" s="10"/>
      <c r="D140" s="10"/>
    </row>
    <row r="141" spans="1:4" ht="13" x14ac:dyDescent="0.15">
      <c r="A141" s="10"/>
      <c r="D141" s="10"/>
    </row>
    <row r="142" spans="1:4" ht="13" x14ac:dyDescent="0.15">
      <c r="A142" s="10"/>
      <c r="D142" s="10"/>
    </row>
    <row r="143" spans="1:4" ht="13" x14ac:dyDescent="0.15">
      <c r="A143" s="10"/>
      <c r="D143" s="10"/>
    </row>
    <row r="144" spans="1:4" ht="13" x14ac:dyDescent="0.15">
      <c r="A144" s="10"/>
      <c r="D144" s="10"/>
    </row>
    <row r="145" spans="1:4" ht="13" x14ac:dyDescent="0.15">
      <c r="A145" s="10"/>
      <c r="D145" s="10"/>
    </row>
    <row r="146" spans="1:4" ht="13" x14ac:dyDescent="0.15">
      <c r="A146" s="10"/>
      <c r="D146" s="10"/>
    </row>
    <row r="147" spans="1:4" ht="13" x14ac:dyDescent="0.15">
      <c r="A147" s="10"/>
      <c r="D147" s="10"/>
    </row>
    <row r="148" spans="1:4" ht="13" x14ac:dyDescent="0.15">
      <c r="A148" s="10"/>
      <c r="D148" s="10"/>
    </row>
    <row r="149" spans="1:4" ht="13" x14ac:dyDescent="0.15">
      <c r="A149" s="10"/>
      <c r="D149" s="10"/>
    </row>
    <row r="150" spans="1:4" ht="13" x14ac:dyDescent="0.15">
      <c r="A150" s="10"/>
      <c r="D150" s="10"/>
    </row>
    <row r="151" spans="1:4" ht="13" x14ac:dyDescent="0.15">
      <c r="A151" s="10"/>
      <c r="D151" s="10"/>
    </row>
    <row r="152" spans="1:4" ht="13" x14ac:dyDescent="0.15">
      <c r="A152" s="10"/>
      <c r="D152" s="10"/>
    </row>
    <row r="153" spans="1:4" ht="13" x14ac:dyDescent="0.15">
      <c r="A153" s="10"/>
      <c r="D153" s="10"/>
    </row>
    <row r="154" spans="1:4" ht="13" x14ac:dyDescent="0.15">
      <c r="A154" s="10"/>
      <c r="D154" s="10"/>
    </row>
    <row r="155" spans="1:4" ht="13" x14ac:dyDescent="0.15">
      <c r="A155" s="10"/>
      <c r="D155" s="10"/>
    </row>
    <row r="156" spans="1:4" ht="13" x14ac:dyDescent="0.15">
      <c r="A156" s="10"/>
      <c r="D156" s="10"/>
    </row>
    <row r="157" spans="1:4" ht="13" x14ac:dyDescent="0.15">
      <c r="A157" s="10"/>
      <c r="D157" s="10"/>
    </row>
    <row r="158" spans="1:4" ht="13" x14ac:dyDescent="0.15">
      <c r="A158" s="10"/>
      <c r="D158" s="10"/>
    </row>
    <row r="159" spans="1:4" ht="13" x14ac:dyDescent="0.15">
      <c r="A159" s="10"/>
      <c r="D159" s="10"/>
    </row>
    <row r="160" spans="1:4" ht="13" x14ac:dyDescent="0.15">
      <c r="A160" s="10"/>
      <c r="D160" s="10"/>
    </row>
    <row r="161" spans="1:4" ht="13" x14ac:dyDescent="0.15">
      <c r="A161" s="10"/>
      <c r="D161" s="10"/>
    </row>
    <row r="162" spans="1:4" ht="13" x14ac:dyDescent="0.15">
      <c r="A162" s="10"/>
      <c r="D162" s="10"/>
    </row>
    <row r="163" spans="1:4" ht="13" x14ac:dyDescent="0.15">
      <c r="A163" s="10"/>
      <c r="D163" s="10"/>
    </row>
    <row r="164" spans="1:4" ht="13" x14ac:dyDescent="0.15">
      <c r="A164" s="10"/>
      <c r="D164" s="10"/>
    </row>
    <row r="165" spans="1:4" ht="13" x14ac:dyDescent="0.15">
      <c r="A165" s="10"/>
      <c r="D165" s="10"/>
    </row>
    <row r="166" spans="1:4" ht="13" x14ac:dyDescent="0.15">
      <c r="A166" s="10"/>
      <c r="D166" s="10"/>
    </row>
    <row r="167" spans="1:4" ht="13" x14ac:dyDescent="0.15">
      <c r="A167" s="10"/>
      <c r="D167" s="10"/>
    </row>
    <row r="168" spans="1:4" ht="13" x14ac:dyDescent="0.15">
      <c r="A168" s="10"/>
      <c r="D168" s="10"/>
    </row>
    <row r="169" spans="1:4" ht="13" x14ac:dyDescent="0.15">
      <c r="A169" s="10"/>
      <c r="D169" s="10"/>
    </row>
    <row r="170" spans="1:4" ht="13" x14ac:dyDescent="0.15">
      <c r="A170" s="10"/>
      <c r="D170" s="10"/>
    </row>
    <row r="171" spans="1:4" ht="13" x14ac:dyDescent="0.15">
      <c r="A171" s="10"/>
      <c r="D171" s="10"/>
    </row>
    <row r="172" spans="1:4" ht="13" x14ac:dyDescent="0.15">
      <c r="A172" s="10"/>
      <c r="D172" s="10"/>
    </row>
    <row r="173" spans="1:4" ht="13" x14ac:dyDescent="0.15">
      <c r="A173" s="10"/>
      <c r="D173" s="10"/>
    </row>
    <row r="174" spans="1:4" ht="13" x14ac:dyDescent="0.15">
      <c r="A174" s="10"/>
      <c r="D174" s="10"/>
    </row>
    <row r="175" spans="1:4" ht="13" x14ac:dyDescent="0.15">
      <c r="A175" s="10"/>
      <c r="D175" s="10"/>
    </row>
    <row r="176" spans="1:4" ht="13" x14ac:dyDescent="0.15">
      <c r="A176" s="10"/>
      <c r="D176" s="10"/>
    </row>
    <row r="177" spans="1:4" ht="13" x14ac:dyDescent="0.15">
      <c r="A177" s="10"/>
      <c r="D177" s="10"/>
    </row>
    <row r="178" spans="1:4" ht="13" x14ac:dyDescent="0.15">
      <c r="A178" s="10"/>
      <c r="D178" s="10"/>
    </row>
    <row r="179" spans="1:4" ht="13" x14ac:dyDescent="0.15">
      <c r="A179" s="10"/>
      <c r="D179" s="10"/>
    </row>
    <row r="180" spans="1:4" ht="13" x14ac:dyDescent="0.15">
      <c r="A180" s="10"/>
      <c r="D180" s="10"/>
    </row>
    <row r="181" spans="1:4" ht="13" x14ac:dyDescent="0.15">
      <c r="A181" s="10"/>
      <c r="D181" s="10"/>
    </row>
    <row r="182" spans="1:4" ht="13" x14ac:dyDescent="0.15">
      <c r="A182" s="10"/>
      <c r="D182" s="10"/>
    </row>
    <row r="183" spans="1:4" ht="13" x14ac:dyDescent="0.15">
      <c r="A183" s="10"/>
      <c r="D183" s="10"/>
    </row>
    <row r="184" spans="1:4" ht="13" x14ac:dyDescent="0.15">
      <c r="A184" s="10"/>
      <c r="D184" s="10"/>
    </row>
    <row r="185" spans="1:4" ht="13" x14ac:dyDescent="0.15">
      <c r="A185" s="10"/>
      <c r="D185" s="10"/>
    </row>
    <row r="186" spans="1:4" ht="13" x14ac:dyDescent="0.15">
      <c r="A186" s="10"/>
      <c r="D186" s="10"/>
    </row>
    <row r="187" spans="1:4" ht="13" x14ac:dyDescent="0.15">
      <c r="A187" s="10"/>
      <c r="D187" s="10"/>
    </row>
    <row r="188" spans="1:4" ht="13" x14ac:dyDescent="0.15">
      <c r="A188" s="10"/>
      <c r="D188" s="10"/>
    </row>
    <row r="189" spans="1:4" ht="13" x14ac:dyDescent="0.15">
      <c r="A189" s="10"/>
      <c r="D189" s="10"/>
    </row>
    <row r="190" spans="1:4" ht="13" x14ac:dyDescent="0.15">
      <c r="A190" s="10"/>
      <c r="D190" s="10"/>
    </row>
    <row r="191" spans="1:4" ht="13" x14ac:dyDescent="0.15">
      <c r="A191" s="10"/>
      <c r="D191" s="10"/>
    </row>
    <row r="192" spans="1:4" ht="13" x14ac:dyDescent="0.15">
      <c r="A192" s="10"/>
      <c r="D192" s="10"/>
    </row>
    <row r="193" spans="1:4" ht="13" x14ac:dyDescent="0.15">
      <c r="A193" s="10"/>
      <c r="D193" s="10"/>
    </row>
    <row r="194" spans="1:4" ht="13" x14ac:dyDescent="0.15">
      <c r="A194" s="10"/>
      <c r="D194" s="10"/>
    </row>
    <row r="195" spans="1:4" ht="13" x14ac:dyDescent="0.15">
      <c r="A195" s="10"/>
      <c r="D195" s="10"/>
    </row>
    <row r="196" spans="1:4" ht="13" x14ac:dyDescent="0.15">
      <c r="A196" s="10"/>
      <c r="D196" s="10"/>
    </row>
    <row r="197" spans="1:4" ht="13" x14ac:dyDescent="0.15">
      <c r="A197" s="10"/>
      <c r="D197" s="10"/>
    </row>
    <row r="198" spans="1:4" ht="13" x14ac:dyDescent="0.15">
      <c r="A198" s="10"/>
      <c r="D198" s="10"/>
    </row>
    <row r="199" spans="1:4" ht="13" x14ac:dyDescent="0.15">
      <c r="A199" s="10"/>
      <c r="D199" s="10"/>
    </row>
    <row r="200" spans="1:4" ht="13" x14ac:dyDescent="0.15">
      <c r="A200" s="10"/>
      <c r="D200" s="10"/>
    </row>
    <row r="201" spans="1:4" ht="13" x14ac:dyDescent="0.15">
      <c r="A201" s="10"/>
      <c r="D201" s="10"/>
    </row>
    <row r="202" spans="1:4" ht="13" x14ac:dyDescent="0.15">
      <c r="A202" s="10"/>
      <c r="D202" s="10"/>
    </row>
    <row r="203" spans="1:4" ht="13" x14ac:dyDescent="0.15">
      <c r="A203" s="10"/>
      <c r="D203" s="10"/>
    </row>
    <row r="204" spans="1:4" ht="13" x14ac:dyDescent="0.15">
      <c r="A204" s="10"/>
      <c r="D204" s="10"/>
    </row>
    <row r="205" spans="1:4" ht="13" x14ac:dyDescent="0.15">
      <c r="A205" s="10"/>
      <c r="D205" s="10"/>
    </row>
    <row r="206" spans="1:4" ht="13" x14ac:dyDescent="0.15">
      <c r="A206" s="10"/>
      <c r="D206" s="10"/>
    </row>
    <row r="207" spans="1:4" ht="13" x14ac:dyDescent="0.15">
      <c r="A207" s="10"/>
      <c r="D207" s="10"/>
    </row>
    <row r="208" spans="1:4" ht="13" x14ac:dyDescent="0.15">
      <c r="A208" s="10"/>
      <c r="D208" s="10"/>
    </row>
    <row r="209" spans="1:4" ht="13" x14ac:dyDescent="0.15">
      <c r="A209" s="10"/>
      <c r="D209" s="10"/>
    </row>
    <row r="210" spans="1:4" ht="13" x14ac:dyDescent="0.15">
      <c r="A210" s="10"/>
      <c r="D210" s="10"/>
    </row>
    <row r="211" spans="1:4" ht="13" x14ac:dyDescent="0.15">
      <c r="A211" s="10"/>
      <c r="D211" s="10"/>
    </row>
    <row r="212" spans="1:4" ht="13" x14ac:dyDescent="0.15">
      <c r="A212" s="10"/>
      <c r="D212" s="10"/>
    </row>
    <row r="213" spans="1:4" ht="13" x14ac:dyDescent="0.15">
      <c r="A213" s="10"/>
      <c r="D213" s="10"/>
    </row>
    <row r="214" spans="1:4" ht="13" x14ac:dyDescent="0.15">
      <c r="A214" s="10"/>
      <c r="D214" s="10"/>
    </row>
    <row r="215" spans="1:4" ht="13" x14ac:dyDescent="0.15">
      <c r="A215" s="10"/>
      <c r="D215" s="10"/>
    </row>
    <row r="216" spans="1:4" ht="13" x14ac:dyDescent="0.15">
      <c r="A216" s="10"/>
      <c r="D216" s="10"/>
    </row>
    <row r="217" spans="1:4" ht="13" x14ac:dyDescent="0.15">
      <c r="A217" s="10"/>
      <c r="D217" s="10"/>
    </row>
    <row r="218" spans="1:4" ht="13" x14ac:dyDescent="0.15">
      <c r="A218" s="10"/>
      <c r="D218" s="10"/>
    </row>
    <row r="219" spans="1:4" ht="13" x14ac:dyDescent="0.15">
      <c r="A219" s="10"/>
      <c r="D219" s="10"/>
    </row>
    <row r="220" spans="1:4" ht="13" x14ac:dyDescent="0.15">
      <c r="A220" s="10"/>
      <c r="D220" s="10"/>
    </row>
    <row r="221" spans="1:4" ht="13" x14ac:dyDescent="0.15">
      <c r="A221" s="10"/>
      <c r="D221" s="10"/>
    </row>
    <row r="222" spans="1:4" ht="13" x14ac:dyDescent="0.15">
      <c r="A222" s="10"/>
      <c r="D222" s="10"/>
    </row>
    <row r="223" spans="1:4" ht="13" x14ac:dyDescent="0.15">
      <c r="A223" s="10"/>
      <c r="D223" s="10"/>
    </row>
    <row r="224" spans="1:4" ht="13" x14ac:dyDescent="0.15">
      <c r="A224" s="10"/>
      <c r="D224" s="10"/>
    </row>
    <row r="225" spans="1:4" ht="13" x14ac:dyDescent="0.15">
      <c r="A225" s="10"/>
      <c r="D225" s="10"/>
    </row>
    <row r="226" spans="1:4" ht="13" x14ac:dyDescent="0.15">
      <c r="A226" s="10"/>
      <c r="D226" s="10"/>
    </row>
    <row r="227" spans="1:4" ht="13" x14ac:dyDescent="0.15">
      <c r="A227" s="10"/>
      <c r="D227" s="10"/>
    </row>
    <row r="228" spans="1:4" ht="13" x14ac:dyDescent="0.15">
      <c r="A228" s="10"/>
      <c r="D228" s="10"/>
    </row>
    <row r="229" spans="1:4" ht="13" x14ac:dyDescent="0.15">
      <c r="A229" s="10"/>
      <c r="D229" s="10"/>
    </row>
    <row r="230" spans="1:4" ht="13" x14ac:dyDescent="0.15">
      <c r="A230" s="10"/>
      <c r="D230" s="10"/>
    </row>
    <row r="231" spans="1:4" ht="13" x14ac:dyDescent="0.15">
      <c r="A231" s="10"/>
      <c r="D231" s="10"/>
    </row>
    <row r="232" spans="1:4" ht="13" x14ac:dyDescent="0.15">
      <c r="A232" s="10"/>
      <c r="D232" s="10"/>
    </row>
    <row r="233" spans="1:4" ht="13" x14ac:dyDescent="0.15">
      <c r="A233" s="10"/>
      <c r="D233" s="10"/>
    </row>
    <row r="234" spans="1:4" ht="13" x14ac:dyDescent="0.15">
      <c r="A234" s="10"/>
      <c r="D234" s="10"/>
    </row>
    <row r="235" spans="1:4" ht="13" x14ac:dyDescent="0.15">
      <c r="A235" s="10"/>
      <c r="D235" s="10"/>
    </row>
    <row r="236" spans="1:4" ht="13" x14ac:dyDescent="0.15">
      <c r="A236" s="10"/>
      <c r="D236" s="10"/>
    </row>
    <row r="237" spans="1:4" ht="13" x14ac:dyDescent="0.15">
      <c r="A237" s="10"/>
      <c r="D237" s="10"/>
    </row>
    <row r="238" spans="1:4" ht="13" x14ac:dyDescent="0.15">
      <c r="A238" s="10"/>
      <c r="D238" s="10"/>
    </row>
    <row r="239" spans="1:4" ht="13" x14ac:dyDescent="0.15">
      <c r="A239" s="10"/>
      <c r="D239" s="10"/>
    </row>
    <row r="240" spans="1:4" ht="13" x14ac:dyDescent="0.15">
      <c r="A240" s="10"/>
      <c r="D240" s="10"/>
    </row>
    <row r="241" spans="1:4" ht="13" x14ac:dyDescent="0.15">
      <c r="A241" s="10"/>
      <c r="D241" s="10"/>
    </row>
    <row r="242" spans="1:4" ht="13" x14ac:dyDescent="0.15">
      <c r="A242" s="10"/>
      <c r="D242" s="10"/>
    </row>
    <row r="243" spans="1:4" ht="13" x14ac:dyDescent="0.15">
      <c r="A243" s="10"/>
      <c r="D243" s="10"/>
    </row>
    <row r="244" spans="1:4" ht="13" x14ac:dyDescent="0.15">
      <c r="A244" s="10"/>
      <c r="D244" s="10"/>
    </row>
    <row r="245" spans="1:4" ht="13" x14ac:dyDescent="0.15">
      <c r="A245" s="10"/>
      <c r="D245" s="10"/>
    </row>
    <row r="246" spans="1:4" ht="13" x14ac:dyDescent="0.15">
      <c r="A246" s="10"/>
      <c r="D246" s="10"/>
    </row>
    <row r="247" spans="1:4" ht="13" x14ac:dyDescent="0.15">
      <c r="A247" s="10"/>
      <c r="D247" s="10"/>
    </row>
    <row r="248" spans="1:4" ht="13" x14ac:dyDescent="0.15">
      <c r="A248" s="10"/>
      <c r="D248" s="10"/>
    </row>
    <row r="249" spans="1:4" ht="13" x14ac:dyDescent="0.15">
      <c r="A249" s="10"/>
      <c r="D249" s="10"/>
    </row>
    <row r="250" spans="1:4" ht="13" x14ac:dyDescent="0.15">
      <c r="A250" s="10"/>
      <c r="D250" s="10"/>
    </row>
    <row r="251" spans="1:4" ht="13" x14ac:dyDescent="0.15">
      <c r="A251" s="10"/>
      <c r="D251" s="10"/>
    </row>
    <row r="252" spans="1:4" ht="13" x14ac:dyDescent="0.15">
      <c r="A252" s="10"/>
      <c r="D252" s="10"/>
    </row>
    <row r="253" spans="1:4" ht="13" x14ac:dyDescent="0.15">
      <c r="A253" s="10"/>
      <c r="D253" s="10"/>
    </row>
    <row r="254" spans="1:4" ht="13" x14ac:dyDescent="0.15">
      <c r="A254" s="10"/>
      <c r="D254" s="10"/>
    </row>
    <row r="255" spans="1:4" ht="13" x14ac:dyDescent="0.15">
      <c r="A255" s="10"/>
      <c r="D255" s="10"/>
    </row>
    <row r="256" spans="1:4" ht="13" x14ac:dyDescent="0.15">
      <c r="A256" s="10"/>
      <c r="D256" s="10"/>
    </row>
    <row r="257" spans="1:4" ht="13" x14ac:dyDescent="0.15">
      <c r="A257" s="10"/>
      <c r="D257" s="10"/>
    </row>
    <row r="258" spans="1:4" ht="13" x14ac:dyDescent="0.15">
      <c r="A258" s="10"/>
      <c r="D258" s="10"/>
    </row>
    <row r="259" spans="1:4" ht="13" x14ac:dyDescent="0.15">
      <c r="A259" s="10"/>
      <c r="D259" s="10"/>
    </row>
    <row r="260" spans="1:4" ht="13" x14ac:dyDescent="0.15">
      <c r="A260" s="10"/>
      <c r="D260" s="10"/>
    </row>
    <row r="261" spans="1:4" ht="13" x14ac:dyDescent="0.15">
      <c r="A261" s="10"/>
      <c r="D261" s="10"/>
    </row>
    <row r="262" spans="1:4" ht="13" x14ac:dyDescent="0.15">
      <c r="A262" s="10"/>
      <c r="D262" s="10"/>
    </row>
    <row r="263" spans="1:4" ht="13" x14ac:dyDescent="0.15">
      <c r="A263" s="10"/>
      <c r="D263" s="10"/>
    </row>
    <row r="264" spans="1:4" ht="13" x14ac:dyDescent="0.15">
      <c r="A264" s="10"/>
      <c r="D264" s="10"/>
    </row>
    <row r="265" spans="1:4" ht="13" x14ac:dyDescent="0.15">
      <c r="A265" s="10"/>
      <c r="D265" s="10"/>
    </row>
    <row r="266" spans="1:4" ht="13" x14ac:dyDescent="0.15">
      <c r="A266" s="10"/>
      <c r="D266" s="10"/>
    </row>
    <row r="267" spans="1:4" ht="13" x14ac:dyDescent="0.15">
      <c r="A267" s="10"/>
      <c r="D267" s="10"/>
    </row>
    <row r="268" spans="1:4" ht="13" x14ac:dyDescent="0.15">
      <c r="A268" s="10"/>
      <c r="D268" s="10"/>
    </row>
    <row r="269" spans="1:4" ht="13" x14ac:dyDescent="0.15">
      <c r="A269" s="10"/>
      <c r="D269" s="10"/>
    </row>
    <row r="270" spans="1:4" ht="13" x14ac:dyDescent="0.15">
      <c r="A270" s="10"/>
      <c r="D270" s="10"/>
    </row>
    <row r="271" spans="1:4" ht="13" x14ac:dyDescent="0.15">
      <c r="A271" s="10"/>
      <c r="D271" s="10"/>
    </row>
    <row r="272" spans="1:4" ht="13" x14ac:dyDescent="0.15">
      <c r="A272" s="10"/>
      <c r="D272" s="10"/>
    </row>
    <row r="273" spans="1:4" ht="13" x14ac:dyDescent="0.15">
      <c r="A273" s="10"/>
      <c r="D273" s="10"/>
    </row>
    <row r="274" spans="1:4" ht="13" x14ac:dyDescent="0.15">
      <c r="A274" s="10"/>
      <c r="D274" s="10"/>
    </row>
    <row r="275" spans="1:4" ht="13" x14ac:dyDescent="0.15">
      <c r="A275" s="10"/>
      <c r="D275" s="10"/>
    </row>
    <row r="276" spans="1:4" ht="13" x14ac:dyDescent="0.15">
      <c r="A276" s="10"/>
      <c r="D276" s="10"/>
    </row>
    <row r="277" spans="1:4" ht="13" x14ac:dyDescent="0.15">
      <c r="A277" s="10"/>
      <c r="D277" s="10"/>
    </row>
    <row r="278" spans="1:4" ht="13" x14ac:dyDescent="0.15">
      <c r="A278" s="10"/>
      <c r="D278" s="10"/>
    </row>
    <row r="279" spans="1:4" ht="13" x14ac:dyDescent="0.15">
      <c r="A279" s="10"/>
      <c r="D279" s="10"/>
    </row>
    <row r="280" spans="1:4" ht="13" x14ac:dyDescent="0.15">
      <c r="A280" s="10"/>
      <c r="D280" s="10"/>
    </row>
    <row r="281" spans="1:4" ht="13" x14ac:dyDescent="0.15">
      <c r="A281" s="10"/>
      <c r="D281" s="10"/>
    </row>
    <row r="282" spans="1:4" ht="13" x14ac:dyDescent="0.15">
      <c r="A282" s="10"/>
      <c r="D282" s="10"/>
    </row>
    <row r="283" spans="1:4" ht="13" x14ac:dyDescent="0.15">
      <c r="A283" s="10"/>
      <c r="D283" s="10"/>
    </row>
    <row r="284" spans="1:4" ht="13" x14ac:dyDescent="0.15">
      <c r="A284" s="10"/>
      <c r="D284" s="10"/>
    </row>
    <row r="285" spans="1:4" ht="13" x14ac:dyDescent="0.15">
      <c r="A285" s="10"/>
      <c r="D285" s="10"/>
    </row>
    <row r="286" spans="1:4" ht="13" x14ac:dyDescent="0.15">
      <c r="A286" s="10"/>
      <c r="D286" s="10"/>
    </row>
    <row r="287" spans="1:4" ht="13" x14ac:dyDescent="0.15">
      <c r="A287" s="10"/>
      <c r="D287" s="10"/>
    </row>
    <row r="288" spans="1:4" ht="13" x14ac:dyDescent="0.15">
      <c r="A288" s="10"/>
      <c r="D288" s="10"/>
    </row>
    <row r="289" spans="1:4" ht="13" x14ac:dyDescent="0.15">
      <c r="A289" s="10"/>
      <c r="D289" s="10"/>
    </row>
    <row r="290" spans="1:4" ht="13" x14ac:dyDescent="0.15">
      <c r="A290" s="10"/>
      <c r="D290" s="10"/>
    </row>
    <row r="291" spans="1:4" ht="13" x14ac:dyDescent="0.15">
      <c r="A291" s="10"/>
      <c r="D291" s="10"/>
    </row>
    <row r="292" spans="1:4" ht="13" x14ac:dyDescent="0.15">
      <c r="A292" s="10"/>
      <c r="D292" s="10"/>
    </row>
    <row r="293" spans="1:4" ht="13" x14ac:dyDescent="0.15">
      <c r="A293" s="10"/>
      <c r="D293" s="10"/>
    </row>
    <row r="294" spans="1:4" ht="13" x14ac:dyDescent="0.15">
      <c r="A294" s="10"/>
      <c r="D294" s="10"/>
    </row>
    <row r="295" spans="1:4" ht="13" x14ac:dyDescent="0.15">
      <c r="A295" s="10"/>
      <c r="D295" s="10"/>
    </row>
    <row r="296" spans="1:4" ht="13" x14ac:dyDescent="0.15">
      <c r="A296" s="10"/>
      <c r="D296" s="10"/>
    </row>
    <row r="297" spans="1:4" ht="13" x14ac:dyDescent="0.15">
      <c r="A297" s="10"/>
      <c r="D297" s="10"/>
    </row>
    <row r="298" spans="1:4" ht="13" x14ac:dyDescent="0.15">
      <c r="A298" s="10"/>
      <c r="D298" s="10"/>
    </row>
    <row r="299" spans="1:4" ht="13" x14ac:dyDescent="0.15">
      <c r="A299" s="10"/>
      <c r="D299" s="10"/>
    </row>
    <row r="300" spans="1:4" ht="13" x14ac:dyDescent="0.15">
      <c r="A300" s="10"/>
      <c r="D300" s="10"/>
    </row>
    <row r="301" spans="1:4" ht="13" x14ac:dyDescent="0.15">
      <c r="A301" s="10"/>
      <c r="D301" s="10"/>
    </row>
    <row r="302" spans="1:4" ht="13" x14ac:dyDescent="0.15">
      <c r="A302" s="10"/>
      <c r="D302" s="10"/>
    </row>
    <row r="303" spans="1:4" ht="13" x14ac:dyDescent="0.15">
      <c r="A303" s="10"/>
      <c r="D303" s="10"/>
    </row>
    <row r="304" spans="1:4" ht="13" x14ac:dyDescent="0.15">
      <c r="A304" s="10"/>
      <c r="D304" s="10"/>
    </row>
    <row r="305" spans="1:4" ht="13" x14ac:dyDescent="0.15">
      <c r="A305" s="10"/>
      <c r="D305" s="10"/>
    </row>
    <row r="306" spans="1:4" ht="13" x14ac:dyDescent="0.15">
      <c r="A306" s="10"/>
      <c r="D306" s="10"/>
    </row>
    <row r="307" spans="1:4" ht="13" x14ac:dyDescent="0.15">
      <c r="A307" s="10"/>
      <c r="D307" s="10"/>
    </row>
    <row r="308" spans="1:4" ht="13" x14ac:dyDescent="0.15">
      <c r="A308" s="10"/>
      <c r="D308" s="10"/>
    </row>
    <row r="309" spans="1:4" ht="13" x14ac:dyDescent="0.15">
      <c r="A309" s="10"/>
      <c r="D309" s="10"/>
    </row>
    <row r="310" spans="1:4" ht="13" x14ac:dyDescent="0.15">
      <c r="A310" s="10"/>
      <c r="D310" s="10"/>
    </row>
    <row r="311" spans="1:4" ht="13" x14ac:dyDescent="0.15">
      <c r="A311" s="10"/>
      <c r="D311" s="10"/>
    </row>
    <row r="312" spans="1:4" ht="13" x14ac:dyDescent="0.15">
      <c r="A312" s="10"/>
      <c r="D312" s="10"/>
    </row>
    <row r="313" spans="1:4" ht="13" x14ac:dyDescent="0.15">
      <c r="A313" s="10"/>
      <c r="D313" s="10"/>
    </row>
    <row r="314" spans="1:4" ht="13" x14ac:dyDescent="0.15">
      <c r="A314" s="10"/>
      <c r="D314" s="10"/>
    </row>
    <row r="315" spans="1:4" ht="13" x14ac:dyDescent="0.15">
      <c r="A315" s="10"/>
      <c r="D315" s="10"/>
    </row>
    <row r="316" spans="1:4" ht="13" x14ac:dyDescent="0.15">
      <c r="A316" s="10"/>
      <c r="D316" s="10"/>
    </row>
    <row r="317" spans="1:4" ht="13" x14ac:dyDescent="0.15">
      <c r="A317" s="10"/>
      <c r="D317" s="10"/>
    </row>
    <row r="318" spans="1:4" ht="13" x14ac:dyDescent="0.15">
      <c r="A318" s="10"/>
      <c r="D318" s="10"/>
    </row>
    <row r="319" spans="1:4" ht="13" x14ac:dyDescent="0.15">
      <c r="A319" s="10"/>
      <c r="D319" s="10"/>
    </row>
    <row r="320" spans="1:4" ht="13" x14ac:dyDescent="0.15">
      <c r="A320" s="10"/>
      <c r="D320" s="10"/>
    </row>
    <row r="321" spans="1:4" ht="13" x14ac:dyDescent="0.15">
      <c r="A321" s="10"/>
      <c r="D321" s="10"/>
    </row>
    <row r="322" spans="1:4" ht="13" x14ac:dyDescent="0.15">
      <c r="A322" s="10"/>
      <c r="D322" s="10"/>
    </row>
    <row r="323" spans="1:4" ht="13" x14ac:dyDescent="0.15">
      <c r="A323" s="10"/>
      <c r="D323" s="10"/>
    </row>
    <row r="324" spans="1:4" ht="13" x14ac:dyDescent="0.15">
      <c r="A324" s="10"/>
      <c r="D324" s="10"/>
    </row>
    <row r="325" spans="1:4" ht="13" x14ac:dyDescent="0.15">
      <c r="A325" s="10"/>
      <c r="D325" s="10"/>
    </row>
    <row r="326" spans="1:4" ht="13" x14ac:dyDescent="0.15">
      <c r="A326" s="10"/>
      <c r="D326" s="10"/>
    </row>
    <row r="327" spans="1:4" ht="13" x14ac:dyDescent="0.15">
      <c r="A327" s="10"/>
      <c r="D327" s="10"/>
    </row>
    <row r="328" spans="1:4" ht="13" x14ac:dyDescent="0.15">
      <c r="A328" s="10"/>
      <c r="D328" s="10"/>
    </row>
    <row r="329" spans="1:4" ht="13" x14ac:dyDescent="0.15">
      <c r="A329" s="10"/>
      <c r="D329" s="10"/>
    </row>
    <row r="330" spans="1:4" ht="13" x14ac:dyDescent="0.15">
      <c r="A330" s="10"/>
      <c r="D330" s="10"/>
    </row>
    <row r="331" spans="1:4" ht="13" x14ac:dyDescent="0.15">
      <c r="A331" s="10"/>
      <c r="D331" s="10"/>
    </row>
    <row r="332" spans="1:4" ht="13" x14ac:dyDescent="0.15">
      <c r="A332" s="10"/>
      <c r="D332" s="10"/>
    </row>
    <row r="333" spans="1:4" ht="13" x14ac:dyDescent="0.15">
      <c r="A333" s="10"/>
      <c r="D333" s="10"/>
    </row>
    <row r="334" spans="1:4" ht="13" x14ac:dyDescent="0.15">
      <c r="A334" s="10"/>
      <c r="D334" s="10"/>
    </row>
    <row r="335" spans="1:4" ht="13" x14ac:dyDescent="0.15">
      <c r="A335" s="10"/>
      <c r="D335" s="10"/>
    </row>
    <row r="336" spans="1:4" ht="13" x14ac:dyDescent="0.15">
      <c r="A336" s="10"/>
      <c r="D336" s="10"/>
    </row>
    <row r="337" spans="1:4" ht="13" x14ac:dyDescent="0.15">
      <c r="A337" s="10"/>
      <c r="D337" s="10"/>
    </row>
    <row r="338" spans="1:4" ht="13" x14ac:dyDescent="0.15">
      <c r="A338" s="10"/>
      <c r="D338" s="10"/>
    </row>
    <row r="339" spans="1:4" ht="13" x14ac:dyDescent="0.15">
      <c r="A339" s="10"/>
      <c r="D339" s="10"/>
    </row>
    <row r="340" spans="1:4" ht="13" x14ac:dyDescent="0.15">
      <c r="A340" s="10"/>
      <c r="D340" s="10"/>
    </row>
    <row r="341" spans="1:4" ht="13" x14ac:dyDescent="0.15">
      <c r="A341" s="10"/>
      <c r="D341" s="10"/>
    </row>
    <row r="342" spans="1:4" ht="13" x14ac:dyDescent="0.15">
      <c r="A342" s="10"/>
      <c r="D342" s="10"/>
    </row>
    <row r="343" spans="1:4" ht="13" x14ac:dyDescent="0.15">
      <c r="A343" s="10"/>
      <c r="D343" s="10"/>
    </row>
    <row r="344" spans="1:4" ht="13" x14ac:dyDescent="0.15">
      <c r="A344" s="10"/>
      <c r="D344" s="10"/>
    </row>
    <row r="345" spans="1:4" ht="13" x14ac:dyDescent="0.15">
      <c r="A345" s="10"/>
      <c r="D345" s="10"/>
    </row>
    <row r="346" spans="1:4" ht="13" x14ac:dyDescent="0.15">
      <c r="A346" s="10"/>
      <c r="D346" s="10"/>
    </row>
    <row r="347" spans="1:4" ht="13" x14ac:dyDescent="0.15">
      <c r="A347" s="10"/>
      <c r="D347" s="10"/>
    </row>
    <row r="348" spans="1:4" ht="13" x14ac:dyDescent="0.15">
      <c r="A348" s="10"/>
      <c r="D348" s="10"/>
    </row>
    <row r="349" spans="1:4" ht="13" x14ac:dyDescent="0.15">
      <c r="A349" s="10"/>
      <c r="D349" s="10"/>
    </row>
    <row r="350" spans="1:4" ht="13" x14ac:dyDescent="0.15">
      <c r="A350" s="10"/>
      <c r="D350" s="10"/>
    </row>
    <row r="351" spans="1:4" ht="13" x14ac:dyDescent="0.15">
      <c r="A351" s="10"/>
      <c r="D351" s="10"/>
    </row>
    <row r="352" spans="1:4" ht="13" x14ac:dyDescent="0.15">
      <c r="A352" s="10"/>
      <c r="D352" s="10"/>
    </row>
    <row r="353" spans="1:4" ht="13" x14ac:dyDescent="0.15">
      <c r="A353" s="10"/>
      <c r="D353" s="10"/>
    </row>
    <row r="354" spans="1:4" ht="13" x14ac:dyDescent="0.15">
      <c r="A354" s="10"/>
      <c r="D354" s="10"/>
    </row>
    <row r="355" spans="1:4" ht="13" x14ac:dyDescent="0.15">
      <c r="A355" s="10"/>
      <c r="D355" s="10"/>
    </row>
    <row r="356" spans="1:4" ht="13" x14ac:dyDescent="0.15">
      <c r="A356" s="10"/>
      <c r="D356" s="10"/>
    </row>
    <row r="357" spans="1:4" ht="13" x14ac:dyDescent="0.15">
      <c r="A357" s="10"/>
      <c r="D357" s="10"/>
    </row>
    <row r="358" spans="1:4" ht="13" x14ac:dyDescent="0.15">
      <c r="A358" s="10"/>
      <c r="D358" s="10"/>
    </row>
    <row r="359" spans="1:4" ht="13" x14ac:dyDescent="0.15">
      <c r="A359" s="10"/>
      <c r="D359" s="10"/>
    </row>
    <row r="360" spans="1:4" ht="13" x14ac:dyDescent="0.15">
      <c r="A360" s="10"/>
      <c r="D360" s="10"/>
    </row>
    <row r="361" spans="1:4" ht="13" x14ac:dyDescent="0.15">
      <c r="A361" s="10"/>
      <c r="D361" s="10"/>
    </row>
    <row r="362" spans="1:4" ht="13" x14ac:dyDescent="0.15">
      <c r="A362" s="10"/>
      <c r="D362" s="10"/>
    </row>
    <row r="363" spans="1:4" ht="13" x14ac:dyDescent="0.15">
      <c r="A363" s="10"/>
      <c r="D363" s="10"/>
    </row>
    <row r="364" spans="1:4" ht="13" x14ac:dyDescent="0.15">
      <c r="A364" s="10"/>
      <c r="D364" s="10"/>
    </row>
    <row r="365" spans="1:4" ht="13" x14ac:dyDescent="0.15">
      <c r="A365" s="10"/>
      <c r="D365" s="10"/>
    </row>
    <row r="366" spans="1:4" ht="13" x14ac:dyDescent="0.15">
      <c r="A366" s="10"/>
      <c r="D366" s="10"/>
    </row>
    <row r="367" spans="1:4" ht="13" x14ac:dyDescent="0.15">
      <c r="A367" s="10"/>
      <c r="D367" s="10"/>
    </row>
    <row r="368" spans="1:4" ht="13" x14ac:dyDescent="0.15">
      <c r="A368" s="10"/>
      <c r="D368" s="10"/>
    </row>
    <row r="369" spans="1:4" ht="13" x14ac:dyDescent="0.15">
      <c r="A369" s="10"/>
      <c r="D369" s="10"/>
    </row>
    <row r="370" spans="1:4" ht="13" x14ac:dyDescent="0.15">
      <c r="A370" s="10"/>
      <c r="D370" s="10"/>
    </row>
    <row r="371" spans="1:4" ht="13" x14ac:dyDescent="0.15">
      <c r="A371" s="10"/>
      <c r="D371" s="10"/>
    </row>
    <row r="372" spans="1:4" ht="13" x14ac:dyDescent="0.15">
      <c r="A372" s="10"/>
      <c r="D372" s="10"/>
    </row>
    <row r="373" spans="1:4" ht="13" x14ac:dyDescent="0.15">
      <c r="A373" s="10"/>
      <c r="D373" s="10"/>
    </row>
    <row r="374" spans="1:4" ht="13" x14ac:dyDescent="0.15">
      <c r="A374" s="10"/>
      <c r="D374" s="10"/>
    </row>
    <row r="375" spans="1:4" ht="13" x14ac:dyDescent="0.15">
      <c r="A375" s="10"/>
      <c r="D375" s="10"/>
    </row>
    <row r="376" spans="1:4" ht="13" x14ac:dyDescent="0.15">
      <c r="A376" s="10"/>
      <c r="D376" s="10"/>
    </row>
    <row r="377" spans="1:4" ht="13" x14ac:dyDescent="0.15">
      <c r="A377" s="10"/>
      <c r="D377" s="10"/>
    </row>
    <row r="378" spans="1:4" ht="13" x14ac:dyDescent="0.15">
      <c r="A378" s="10"/>
      <c r="D378" s="10"/>
    </row>
    <row r="379" spans="1:4" ht="13" x14ac:dyDescent="0.15">
      <c r="A379" s="10"/>
      <c r="D379" s="10"/>
    </row>
    <row r="380" spans="1:4" ht="13" x14ac:dyDescent="0.15">
      <c r="A380" s="10"/>
      <c r="D380" s="10"/>
    </row>
    <row r="381" spans="1:4" ht="13" x14ac:dyDescent="0.15">
      <c r="A381" s="10"/>
      <c r="D381" s="10"/>
    </row>
    <row r="382" spans="1:4" ht="13" x14ac:dyDescent="0.15">
      <c r="A382" s="10"/>
      <c r="D382" s="10"/>
    </row>
    <row r="383" spans="1:4" ht="13" x14ac:dyDescent="0.15">
      <c r="A383" s="10"/>
      <c r="D383" s="10"/>
    </row>
    <row r="384" spans="1:4" ht="13" x14ac:dyDescent="0.15">
      <c r="A384" s="10"/>
      <c r="D384" s="10"/>
    </row>
    <row r="385" spans="1:4" ht="13" x14ac:dyDescent="0.15">
      <c r="A385" s="10"/>
      <c r="D385" s="10"/>
    </row>
    <row r="386" spans="1:4" ht="13" x14ac:dyDescent="0.15">
      <c r="A386" s="10"/>
      <c r="D386" s="10"/>
    </row>
    <row r="387" spans="1:4" ht="13" x14ac:dyDescent="0.15">
      <c r="A387" s="10"/>
      <c r="D387" s="10"/>
    </row>
    <row r="388" spans="1:4" ht="13" x14ac:dyDescent="0.15">
      <c r="A388" s="10"/>
      <c r="D388" s="10"/>
    </row>
    <row r="389" spans="1:4" ht="13" x14ac:dyDescent="0.15">
      <c r="A389" s="10"/>
      <c r="D389" s="10"/>
    </row>
    <row r="390" spans="1:4" ht="13" x14ac:dyDescent="0.15">
      <c r="A390" s="10"/>
      <c r="D390" s="10"/>
    </row>
    <row r="391" spans="1:4" ht="13" x14ac:dyDescent="0.15">
      <c r="A391" s="10"/>
      <c r="D391" s="10"/>
    </row>
    <row r="392" spans="1:4" ht="13" x14ac:dyDescent="0.15">
      <c r="A392" s="10"/>
      <c r="D392" s="10"/>
    </row>
    <row r="393" spans="1:4" ht="13" x14ac:dyDescent="0.15">
      <c r="A393" s="10"/>
      <c r="D393" s="10"/>
    </row>
    <row r="394" spans="1:4" ht="13" x14ac:dyDescent="0.15">
      <c r="A394" s="10"/>
      <c r="D394" s="10"/>
    </row>
    <row r="395" spans="1:4" ht="13" x14ac:dyDescent="0.15">
      <c r="A395" s="10"/>
      <c r="D395" s="10"/>
    </row>
    <row r="396" spans="1:4" ht="13" x14ac:dyDescent="0.15">
      <c r="A396" s="10"/>
      <c r="D396" s="10"/>
    </row>
    <row r="397" spans="1:4" ht="13" x14ac:dyDescent="0.15">
      <c r="A397" s="10"/>
      <c r="D397" s="10"/>
    </row>
    <row r="398" spans="1:4" ht="13" x14ac:dyDescent="0.15">
      <c r="A398" s="10"/>
      <c r="D398" s="10"/>
    </row>
    <row r="399" spans="1:4" ht="13" x14ac:dyDescent="0.15">
      <c r="A399" s="10"/>
      <c r="D399" s="10"/>
    </row>
    <row r="400" spans="1:4" ht="13" x14ac:dyDescent="0.15">
      <c r="A400" s="10"/>
      <c r="D400" s="10"/>
    </row>
    <row r="401" spans="1:4" ht="13" x14ac:dyDescent="0.15">
      <c r="A401" s="10"/>
      <c r="D401" s="10"/>
    </row>
    <row r="402" spans="1:4" ht="13" x14ac:dyDescent="0.15">
      <c r="A402" s="10"/>
      <c r="D402" s="10"/>
    </row>
    <row r="403" spans="1:4" ht="13" x14ac:dyDescent="0.15">
      <c r="A403" s="10"/>
      <c r="D403" s="10"/>
    </row>
    <row r="404" spans="1:4" ht="13" x14ac:dyDescent="0.15">
      <c r="A404" s="10"/>
      <c r="D404" s="10"/>
    </row>
    <row r="405" spans="1:4" ht="13" x14ac:dyDescent="0.15">
      <c r="A405" s="10"/>
      <c r="D405" s="10"/>
    </row>
    <row r="406" spans="1:4" ht="13" x14ac:dyDescent="0.15">
      <c r="A406" s="10"/>
      <c r="D406" s="10"/>
    </row>
    <row r="407" spans="1:4" ht="13" x14ac:dyDescent="0.15">
      <c r="A407" s="10"/>
      <c r="D407" s="10"/>
    </row>
    <row r="408" spans="1:4" ht="13" x14ac:dyDescent="0.15">
      <c r="A408" s="10"/>
      <c r="D408" s="10"/>
    </row>
    <row r="409" spans="1:4" ht="13" x14ac:dyDescent="0.15">
      <c r="A409" s="10"/>
      <c r="D409" s="10"/>
    </row>
    <row r="410" spans="1:4" ht="13" x14ac:dyDescent="0.15">
      <c r="A410" s="10"/>
      <c r="D410" s="10"/>
    </row>
    <row r="411" spans="1:4" ht="13" x14ac:dyDescent="0.15">
      <c r="A411" s="10"/>
      <c r="D411" s="10"/>
    </row>
    <row r="412" spans="1:4" ht="13" x14ac:dyDescent="0.15">
      <c r="A412" s="10"/>
      <c r="D412" s="10"/>
    </row>
    <row r="413" spans="1:4" ht="13" x14ac:dyDescent="0.15">
      <c r="A413" s="10"/>
      <c r="D413" s="10"/>
    </row>
    <row r="414" spans="1:4" ht="13" x14ac:dyDescent="0.15">
      <c r="A414" s="10"/>
      <c r="D414" s="10"/>
    </row>
    <row r="415" spans="1:4" ht="13" x14ac:dyDescent="0.15">
      <c r="A415" s="10"/>
      <c r="D415" s="10"/>
    </row>
    <row r="416" spans="1:4" ht="13" x14ac:dyDescent="0.15">
      <c r="A416" s="10"/>
      <c r="D416" s="10"/>
    </row>
    <row r="417" spans="1:4" ht="13" x14ac:dyDescent="0.15">
      <c r="A417" s="10"/>
      <c r="D417" s="10"/>
    </row>
    <row r="418" spans="1:4" ht="13" x14ac:dyDescent="0.15">
      <c r="A418" s="10"/>
      <c r="D418" s="10"/>
    </row>
    <row r="419" spans="1:4" ht="13" x14ac:dyDescent="0.15">
      <c r="A419" s="10"/>
      <c r="D419" s="10"/>
    </row>
    <row r="420" spans="1:4" ht="13" x14ac:dyDescent="0.15">
      <c r="A420" s="10"/>
      <c r="D420" s="10"/>
    </row>
    <row r="421" spans="1:4" ht="13" x14ac:dyDescent="0.15">
      <c r="A421" s="10"/>
      <c r="D421" s="10"/>
    </row>
    <row r="422" spans="1:4" ht="13" x14ac:dyDescent="0.15">
      <c r="A422" s="10"/>
      <c r="D422" s="10"/>
    </row>
    <row r="423" spans="1:4" ht="13" x14ac:dyDescent="0.15">
      <c r="A423" s="10"/>
      <c r="D423" s="10"/>
    </row>
    <row r="424" spans="1:4" ht="13" x14ac:dyDescent="0.15">
      <c r="A424" s="10"/>
      <c r="D424" s="10"/>
    </row>
    <row r="425" spans="1:4" ht="13" x14ac:dyDescent="0.15">
      <c r="A425" s="10"/>
      <c r="D425" s="10"/>
    </row>
    <row r="426" spans="1:4" ht="13" x14ac:dyDescent="0.15">
      <c r="A426" s="10"/>
      <c r="D426" s="10"/>
    </row>
    <row r="427" spans="1:4" ht="13" x14ac:dyDescent="0.15">
      <c r="A427" s="10"/>
      <c r="D427" s="10"/>
    </row>
    <row r="428" spans="1:4" ht="13" x14ac:dyDescent="0.15">
      <c r="A428" s="10"/>
      <c r="D428" s="10"/>
    </row>
    <row r="429" spans="1:4" ht="13" x14ac:dyDescent="0.15">
      <c r="A429" s="10"/>
      <c r="D429" s="10"/>
    </row>
    <row r="430" spans="1:4" ht="13" x14ac:dyDescent="0.15">
      <c r="A430" s="10"/>
      <c r="D430" s="10"/>
    </row>
    <row r="431" spans="1:4" ht="13" x14ac:dyDescent="0.15">
      <c r="A431" s="10"/>
      <c r="D431" s="10"/>
    </row>
    <row r="432" spans="1:4" ht="13" x14ac:dyDescent="0.15">
      <c r="A432" s="10"/>
      <c r="D432" s="10"/>
    </row>
    <row r="433" spans="1:4" ht="13" x14ac:dyDescent="0.15">
      <c r="A433" s="10"/>
      <c r="D433" s="10"/>
    </row>
    <row r="434" spans="1:4" ht="13" x14ac:dyDescent="0.15">
      <c r="A434" s="10"/>
      <c r="D434" s="10"/>
    </row>
    <row r="435" spans="1:4" ht="13" x14ac:dyDescent="0.15">
      <c r="A435" s="10"/>
      <c r="D435" s="10"/>
    </row>
    <row r="436" spans="1:4" ht="13" x14ac:dyDescent="0.15">
      <c r="A436" s="10"/>
      <c r="D436" s="10"/>
    </row>
    <row r="437" spans="1:4" ht="13" x14ac:dyDescent="0.15">
      <c r="A437" s="10"/>
      <c r="D437" s="10"/>
    </row>
    <row r="438" spans="1:4" ht="13" x14ac:dyDescent="0.15">
      <c r="A438" s="10"/>
      <c r="D438" s="10"/>
    </row>
    <row r="439" spans="1:4" ht="13" x14ac:dyDescent="0.15">
      <c r="A439" s="10"/>
      <c r="D439" s="10"/>
    </row>
    <row r="440" spans="1:4" ht="13" x14ac:dyDescent="0.15">
      <c r="A440" s="10"/>
      <c r="D440" s="10"/>
    </row>
    <row r="441" spans="1:4" ht="13" x14ac:dyDescent="0.15">
      <c r="A441" s="10"/>
      <c r="D441" s="10"/>
    </row>
    <row r="442" spans="1:4" ht="13" x14ac:dyDescent="0.15">
      <c r="A442" s="10"/>
      <c r="D442" s="10"/>
    </row>
    <row r="443" spans="1:4" ht="13" x14ac:dyDescent="0.15">
      <c r="A443" s="10"/>
      <c r="D443" s="10"/>
    </row>
    <row r="444" spans="1:4" ht="13" x14ac:dyDescent="0.15">
      <c r="A444" s="10"/>
      <c r="D444" s="10"/>
    </row>
    <row r="445" spans="1:4" ht="13" x14ac:dyDescent="0.15">
      <c r="A445" s="10"/>
      <c r="D445" s="10"/>
    </row>
    <row r="446" spans="1:4" ht="13" x14ac:dyDescent="0.15">
      <c r="A446" s="10"/>
      <c r="D446" s="10"/>
    </row>
    <row r="447" spans="1:4" ht="13" x14ac:dyDescent="0.15">
      <c r="A447" s="10"/>
      <c r="D447" s="10"/>
    </row>
    <row r="448" spans="1:4" ht="13" x14ac:dyDescent="0.15">
      <c r="A448" s="10"/>
      <c r="D448" s="10"/>
    </row>
    <row r="449" spans="1:4" ht="13" x14ac:dyDescent="0.15">
      <c r="A449" s="10"/>
      <c r="D449" s="10"/>
    </row>
    <row r="450" spans="1:4" ht="13" x14ac:dyDescent="0.15">
      <c r="A450" s="10"/>
      <c r="D450" s="10"/>
    </row>
    <row r="451" spans="1:4" ht="13" x14ac:dyDescent="0.15">
      <c r="A451" s="10"/>
      <c r="D451" s="10"/>
    </row>
    <row r="452" spans="1:4" ht="13" x14ac:dyDescent="0.15">
      <c r="A452" s="10"/>
      <c r="D452" s="10"/>
    </row>
    <row r="453" spans="1:4" ht="13" x14ac:dyDescent="0.15">
      <c r="A453" s="10"/>
      <c r="D453" s="10"/>
    </row>
    <row r="454" spans="1:4" ht="13" x14ac:dyDescent="0.15">
      <c r="A454" s="10"/>
      <c r="D454" s="10"/>
    </row>
    <row r="455" spans="1:4" ht="13" x14ac:dyDescent="0.15">
      <c r="A455" s="10"/>
      <c r="D455" s="10"/>
    </row>
    <row r="456" spans="1:4" ht="13" x14ac:dyDescent="0.15">
      <c r="A456" s="10"/>
      <c r="D456" s="10"/>
    </row>
    <row r="457" spans="1:4" ht="13" x14ac:dyDescent="0.15">
      <c r="A457" s="10"/>
      <c r="D457" s="10"/>
    </row>
    <row r="458" spans="1:4" ht="13" x14ac:dyDescent="0.15">
      <c r="A458" s="10"/>
      <c r="D458" s="10"/>
    </row>
    <row r="459" spans="1:4" ht="13" x14ac:dyDescent="0.15">
      <c r="A459" s="10"/>
      <c r="D459" s="10"/>
    </row>
    <row r="460" spans="1:4" ht="13" x14ac:dyDescent="0.15">
      <c r="A460" s="10"/>
      <c r="D460" s="10"/>
    </row>
    <row r="461" spans="1:4" ht="13" x14ac:dyDescent="0.15">
      <c r="A461" s="10"/>
      <c r="D461" s="10"/>
    </row>
    <row r="462" spans="1:4" ht="13" x14ac:dyDescent="0.15">
      <c r="A462" s="10"/>
      <c r="D462" s="10"/>
    </row>
    <row r="463" spans="1:4" ht="13" x14ac:dyDescent="0.15">
      <c r="A463" s="10"/>
      <c r="D463" s="10"/>
    </row>
    <row r="464" spans="1:4" ht="13" x14ac:dyDescent="0.15">
      <c r="A464" s="10"/>
      <c r="D464" s="10"/>
    </row>
    <row r="465" spans="1:4" ht="13" x14ac:dyDescent="0.15">
      <c r="A465" s="10"/>
      <c r="D465" s="10"/>
    </row>
    <row r="466" spans="1:4" ht="13" x14ac:dyDescent="0.15">
      <c r="A466" s="10"/>
      <c r="D466" s="10"/>
    </row>
    <row r="467" spans="1:4" ht="13" x14ac:dyDescent="0.15">
      <c r="A467" s="10"/>
      <c r="D467" s="10"/>
    </row>
    <row r="468" spans="1:4" ht="13" x14ac:dyDescent="0.15">
      <c r="A468" s="10"/>
      <c r="D468" s="10"/>
    </row>
    <row r="469" spans="1:4" ht="13" x14ac:dyDescent="0.15">
      <c r="A469" s="10"/>
      <c r="D469" s="10"/>
    </row>
    <row r="470" spans="1:4" ht="13" x14ac:dyDescent="0.15">
      <c r="A470" s="10"/>
      <c r="D470" s="10"/>
    </row>
    <row r="471" spans="1:4" ht="13" x14ac:dyDescent="0.15">
      <c r="A471" s="10"/>
      <c r="D471" s="10"/>
    </row>
    <row r="472" spans="1:4" ht="13" x14ac:dyDescent="0.15">
      <c r="A472" s="10"/>
      <c r="D472" s="10"/>
    </row>
    <row r="473" spans="1:4" ht="13" x14ac:dyDescent="0.15">
      <c r="A473" s="10"/>
      <c r="D473" s="10"/>
    </row>
    <row r="474" spans="1:4" ht="13" x14ac:dyDescent="0.15">
      <c r="A474" s="10"/>
      <c r="D474" s="10"/>
    </row>
    <row r="475" spans="1:4" ht="13" x14ac:dyDescent="0.15">
      <c r="A475" s="10"/>
      <c r="D475" s="10"/>
    </row>
    <row r="476" spans="1:4" ht="13" x14ac:dyDescent="0.15">
      <c r="A476" s="10"/>
      <c r="D476" s="10"/>
    </row>
    <row r="477" spans="1:4" ht="13" x14ac:dyDescent="0.15">
      <c r="A477" s="10"/>
      <c r="D477" s="10"/>
    </row>
    <row r="478" spans="1:4" ht="13" x14ac:dyDescent="0.15">
      <c r="A478" s="10"/>
      <c r="D478" s="10"/>
    </row>
    <row r="479" spans="1:4" ht="13" x14ac:dyDescent="0.15">
      <c r="A479" s="10"/>
      <c r="D479" s="10"/>
    </row>
    <row r="480" spans="1:4" ht="13" x14ac:dyDescent="0.15">
      <c r="A480" s="10"/>
      <c r="D480" s="10"/>
    </row>
    <row r="481" spans="1:4" ht="13" x14ac:dyDescent="0.15">
      <c r="A481" s="10"/>
      <c r="D481" s="10"/>
    </row>
    <row r="482" spans="1:4" ht="13" x14ac:dyDescent="0.15">
      <c r="A482" s="10"/>
      <c r="D482" s="10"/>
    </row>
    <row r="483" spans="1:4" ht="13" x14ac:dyDescent="0.15">
      <c r="A483" s="10"/>
      <c r="D483" s="10"/>
    </row>
    <row r="484" spans="1:4" ht="13" x14ac:dyDescent="0.15">
      <c r="A484" s="10"/>
      <c r="D484" s="10"/>
    </row>
    <row r="485" spans="1:4" ht="13" x14ac:dyDescent="0.15">
      <c r="A485" s="10"/>
      <c r="D485" s="10"/>
    </row>
    <row r="486" spans="1:4" ht="13" x14ac:dyDescent="0.15">
      <c r="A486" s="10"/>
      <c r="D486" s="10"/>
    </row>
    <row r="487" spans="1:4" ht="13" x14ac:dyDescent="0.15">
      <c r="A487" s="10"/>
      <c r="D487" s="10"/>
    </row>
    <row r="488" spans="1:4" ht="13" x14ac:dyDescent="0.15">
      <c r="A488" s="10"/>
      <c r="D488" s="10"/>
    </row>
    <row r="489" spans="1:4" ht="13" x14ac:dyDescent="0.15">
      <c r="A489" s="10"/>
      <c r="D489" s="10"/>
    </row>
    <row r="490" spans="1:4" ht="13" x14ac:dyDescent="0.15">
      <c r="A490" s="10"/>
      <c r="D490" s="10"/>
    </row>
    <row r="491" spans="1:4" ht="13" x14ac:dyDescent="0.15">
      <c r="A491" s="10"/>
      <c r="D491" s="10"/>
    </row>
    <row r="492" spans="1:4" ht="13" x14ac:dyDescent="0.15">
      <c r="A492" s="10"/>
      <c r="D492" s="10"/>
    </row>
    <row r="493" spans="1:4" ht="13" x14ac:dyDescent="0.15">
      <c r="A493" s="10"/>
      <c r="D493" s="10"/>
    </row>
    <row r="494" spans="1:4" ht="13" x14ac:dyDescent="0.15">
      <c r="A494" s="10"/>
      <c r="D494" s="10"/>
    </row>
    <row r="495" spans="1:4" ht="13" x14ac:dyDescent="0.15">
      <c r="A495" s="10"/>
      <c r="D495" s="10"/>
    </row>
    <row r="496" spans="1:4" ht="13" x14ac:dyDescent="0.15">
      <c r="A496" s="10"/>
      <c r="D496" s="10"/>
    </row>
    <row r="497" spans="1:4" ht="13" x14ac:dyDescent="0.15">
      <c r="A497" s="10"/>
      <c r="D497" s="10"/>
    </row>
    <row r="498" spans="1:4" ht="13" x14ac:dyDescent="0.15">
      <c r="A498" s="10"/>
      <c r="D498" s="10"/>
    </row>
    <row r="499" spans="1:4" ht="13" x14ac:dyDescent="0.15">
      <c r="A499" s="10"/>
      <c r="D499" s="10"/>
    </row>
    <row r="500" spans="1:4" ht="13" x14ac:dyDescent="0.15">
      <c r="A500" s="10"/>
      <c r="D500" s="10"/>
    </row>
    <row r="501" spans="1:4" ht="13" x14ac:dyDescent="0.15">
      <c r="A501" s="10"/>
      <c r="D501" s="10"/>
    </row>
    <row r="502" spans="1:4" ht="13" x14ac:dyDescent="0.15">
      <c r="A502" s="10"/>
      <c r="D502" s="10"/>
    </row>
    <row r="503" spans="1:4" ht="13" x14ac:dyDescent="0.15">
      <c r="A503" s="10"/>
      <c r="D503" s="10"/>
    </row>
    <row r="504" spans="1:4" ht="13" x14ac:dyDescent="0.15">
      <c r="A504" s="10"/>
      <c r="D504" s="10"/>
    </row>
    <row r="505" spans="1:4" ht="13" x14ac:dyDescent="0.15">
      <c r="A505" s="10"/>
      <c r="D505" s="10"/>
    </row>
    <row r="506" spans="1:4" ht="13" x14ac:dyDescent="0.15">
      <c r="A506" s="10"/>
      <c r="D506" s="10"/>
    </row>
    <row r="507" spans="1:4" ht="13" x14ac:dyDescent="0.15">
      <c r="A507" s="10"/>
      <c r="D507" s="10"/>
    </row>
    <row r="508" spans="1:4" ht="13" x14ac:dyDescent="0.15">
      <c r="A508" s="10"/>
      <c r="D508" s="10"/>
    </row>
    <row r="509" spans="1:4" ht="13" x14ac:dyDescent="0.15">
      <c r="A509" s="10"/>
      <c r="D509" s="10"/>
    </row>
    <row r="510" spans="1:4" ht="13" x14ac:dyDescent="0.15">
      <c r="A510" s="10"/>
      <c r="D510" s="10"/>
    </row>
    <row r="511" spans="1:4" ht="13" x14ac:dyDescent="0.15">
      <c r="A511" s="10"/>
      <c r="D511" s="10"/>
    </row>
    <row r="512" spans="1:4" ht="13" x14ac:dyDescent="0.15">
      <c r="A512" s="10"/>
      <c r="D512" s="10"/>
    </row>
    <row r="513" spans="1:4" ht="13" x14ac:dyDescent="0.15">
      <c r="A513" s="10"/>
      <c r="D513" s="10"/>
    </row>
    <row r="514" spans="1:4" ht="13" x14ac:dyDescent="0.15">
      <c r="A514" s="10"/>
      <c r="D514" s="10"/>
    </row>
    <row r="515" spans="1:4" ht="13" x14ac:dyDescent="0.15">
      <c r="A515" s="10"/>
      <c r="D515" s="10"/>
    </row>
    <row r="516" spans="1:4" ht="13" x14ac:dyDescent="0.15">
      <c r="A516" s="10"/>
      <c r="D516" s="10"/>
    </row>
    <row r="517" spans="1:4" ht="13" x14ac:dyDescent="0.15">
      <c r="A517" s="10"/>
      <c r="D517" s="10"/>
    </row>
    <row r="518" spans="1:4" ht="13" x14ac:dyDescent="0.15">
      <c r="A518" s="10"/>
      <c r="D518" s="10"/>
    </row>
    <row r="519" spans="1:4" ht="13" x14ac:dyDescent="0.15">
      <c r="A519" s="10"/>
      <c r="D519" s="10"/>
    </row>
    <row r="520" spans="1:4" ht="13" x14ac:dyDescent="0.15">
      <c r="A520" s="10"/>
      <c r="D520" s="10"/>
    </row>
    <row r="521" spans="1:4" ht="13" x14ac:dyDescent="0.15">
      <c r="A521" s="10"/>
      <c r="D521" s="10"/>
    </row>
    <row r="522" spans="1:4" ht="13" x14ac:dyDescent="0.15">
      <c r="A522" s="10"/>
      <c r="D522" s="10"/>
    </row>
    <row r="523" spans="1:4" ht="13" x14ac:dyDescent="0.15">
      <c r="A523" s="10"/>
      <c r="D523" s="10"/>
    </row>
    <row r="524" spans="1:4" ht="13" x14ac:dyDescent="0.15">
      <c r="A524" s="10"/>
      <c r="D524" s="10"/>
    </row>
    <row r="525" spans="1:4" ht="13" x14ac:dyDescent="0.15">
      <c r="A525" s="10"/>
      <c r="D525" s="10"/>
    </row>
    <row r="526" spans="1:4" ht="13" x14ac:dyDescent="0.15">
      <c r="A526" s="10"/>
      <c r="D526" s="10"/>
    </row>
    <row r="527" spans="1:4" ht="13" x14ac:dyDescent="0.15">
      <c r="A527" s="10"/>
      <c r="D527" s="10"/>
    </row>
    <row r="528" spans="1:4" ht="13" x14ac:dyDescent="0.15">
      <c r="A528" s="10"/>
      <c r="D528" s="10"/>
    </row>
    <row r="529" spans="1:4" ht="13" x14ac:dyDescent="0.15">
      <c r="A529" s="10"/>
      <c r="D529" s="10"/>
    </row>
    <row r="530" spans="1:4" ht="13" x14ac:dyDescent="0.15">
      <c r="A530" s="10"/>
      <c r="D530" s="10"/>
    </row>
    <row r="531" spans="1:4" ht="13" x14ac:dyDescent="0.15">
      <c r="A531" s="10"/>
      <c r="D531" s="10"/>
    </row>
    <row r="532" spans="1:4" ht="13" x14ac:dyDescent="0.15">
      <c r="A532" s="10"/>
      <c r="D532" s="10"/>
    </row>
    <row r="533" spans="1:4" ht="13" x14ac:dyDescent="0.15">
      <c r="A533" s="10"/>
      <c r="D533" s="10"/>
    </row>
    <row r="534" spans="1:4" ht="13" x14ac:dyDescent="0.15">
      <c r="A534" s="10"/>
      <c r="D534" s="10"/>
    </row>
    <row r="535" spans="1:4" ht="13" x14ac:dyDescent="0.15">
      <c r="A535" s="10"/>
      <c r="D535" s="10"/>
    </row>
    <row r="536" spans="1:4" ht="13" x14ac:dyDescent="0.15">
      <c r="A536" s="10"/>
      <c r="D536" s="10"/>
    </row>
    <row r="537" spans="1:4" ht="13" x14ac:dyDescent="0.15">
      <c r="A537" s="10"/>
      <c r="D537" s="10"/>
    </row>
    <row r="538" spans="1:4" ht="13" x14ac:dyDescent="0.15">
      <c r="A538" s="10"/>
      <c r="D538" s="10"/>
    </row>
    <row r="539" spans="1:4" ht="13" x14ac:dyDescent="0.15">
      <c r="A539" s="10"/>
      <c r="D539" s="10"/>
    </row>
    <row r="540" spans="1:4" ht="13" x14ac:dyDescent="0.15">
      <c r="A540" s="10"/>
      <c r="D540" s="10"/>
    </row>
    <row r="541" spans="1:4" ht="13" x14ac:dyDescent="0.15">
      <c r="A541" s="10"/>
      <c r="D541" s="10"/>
    </row>
    <row r="542" spans="1:4" ht="13" x14ac:dyDescent="0.15">
      <c r="A542" s="10"/>
      <c r="D542" s="10"/>
    </row>
    <row r="543" spans="1:4" ht="13" x14ac:dyDescent="0.15">
      <c r="A543" s="10"/>
      <c r="D543" s="10"/>
    </row>
    <row r="544" spans="1:4" ht="13" x14ac:dyDescent="0.15">
      <c r="A544" s="10"/>
      <c r="D544" s="10"/>
    </row>
    <row r="545" spans="1:4" ht="13" x14ac:dyDescent="0.15">
      <c r="A545" s="10"/>
      <c r="D545" s="10"/>
    </row>
    <row r="546" spans="1:4" ht="13" x14ac:dyDescent="0.15">
      <c r="A546" s="10"/>
      <c r="D546" s="10"/>
    </row>
    <row r="547" spans="1:4" ht="13" x14ac:dyDescent="0.15">
      <c r="A547" s="10"/>
      <c r="D547" s="10"/>
    </row>
    <row r="548" spans="1:4" ht="13" x14ac:dyDescent="0.15">
      <c r="A548" s="10"/>
      <c r="D548" s="10"/>
    </row>
    <row r="549" spans="1:4" ht="13" x14ac:dyDescent="0.15">
      <c r="A549" s="10"/>
      <c r="D549" s="10"/>
    </row>
    <row r="550" spans="1:4" ht="13" x14ac:dyDescent="0.15">
      <c r="A550" s="10"/>
      <c r="D550" s="10"/>
    </row>
    <row r="551" spans="1:4" ht="13" x14ac:dyDescent="0.15">
      <c r="A551" s="10"/>
      <c r="D551" s="10"/>
    </row>
    <row r="552" spans="1:4" ht="13" x14ac:dyDescent="0.15">
      <c r="A552" s="10"/>
      <c r="D552" s="10"/>
    </row>
    <row r="553" spans="1:4" ht="13" x14ac:dyDescent="0.15">
      <c r="A553" s="10"/>
      <c r="D553" s="10"/>
    </row>
    <row r="554" spans="1:4" ht="13" x14ac:dyDescent="0.15">
      <c r="A554" s="10"/>
      <c r="D554" s="10"/>
    </row>
    <row r="555" spans="1:4" ht="13" x14ac:dyDescent="0.15">
      <c r="A555" s="10"/>
      <c r="D555" s="10"/>
    </row>
    <row r="556" spans="1:4" ht="13" x14ac:dyDescent="0.15">
      <c r="A556" s="10"/>
      <c r="D556" s="10"/>
    </row>
    <row r="557" spans="1:4" ht="13" x14ac:dyDescent="0.15">
      <c r="A557" s="10"/>
      <c r="D557" s="10"/>
    </row>
    <row r="558" spans="1:4" ht="13" x14ac:dyDescent="0.15">
      <c r="A558" s="10"/>
      <c r="D558" s="10"/>
    </row>
    <row r="559" spans="1:4" ht="13" x14ac:dyDescent="0.15">
      <c r="A559" s="10"/>
      <c r="D559" s="10"/>
    </row>
    <row r="560" spans="1:4" ht="13" x14ac:dyDescent="0.15">
      <c r="A560" s="10"/>
      <c r="D560" s="10"/>
    </row>
    <row r="561" spans="1:4" ht="13" x14ac:dyDescent="0.15">
      <c r="A561" s="10"/>
      <c r="D561" s="10"/>
    </row>
    <row r="562" spans="1:4" ht="13" x14ac:dyDescent="0.15">
      <c r="A562" s="10"/>
      <c r="D562" s="10"/>
    </row>
    <row r="563" spans="1:4" ht="13" x14ac:dyDescent="0.15">
      <c r="A563" s="10"/>
      <c r="D563" s="10"/>
    </row>
    <row r="564" spans="1:4" ht="13" x14ac:dyDescent="0.15">
      <c r="A564" s="10"/>
      <c r="D564" s="10"/>
    </row>
    <row r="565" spans="1:4" ht="13" x14ac:dyDescent="0.15">
      <c r="A565" s="10"/>
      <c r="D565" s="10"/>
    </row>
    <row r="566" spans="1:4" ht="13" x14ac:dyDescent="0.15">
      <c r="A566" s="10"/>
      <c r="D566" s="10"/>
    </row>
    <row r="567" spans="1:4" ht="13" x14ac:dyDescent="0.15">
      <c r="A567" s="10"/>
      <c r="D567" s="10"/>
    </row>
    <row r="568" spans="1:4" ht="13" x14ac:dyDescent="0.15">
      <c r="A568" s="10"/>
      <c r="D568" s="10"/>
    </row>
    <row r="569" spans="1:4" ht="13" x14ac:dyDescent="0.15">
      <c r="A569" s="10"/>
      <c r="D569" s="10"/>
    </row>
    <row r="570" spans="1:4" ht="13" x14ac:dyDescent="0.15">
      <c r="A570" s="10"/>
      <c r="D570" s="10"/>
    </row>
    <row r="571" spans="1:4" ht="13" x14ac:dyDescent="0.15">
      <c r="A571" s="10"/>
      <c r="D571" s="10"/>
    </row>
    <row r="572" spans="1:4" ht="13" x14ac:dyDescent="0.15">
      <c r="A572" s="10"/>
      <c r="D572" s="10"/>
    </row>
    <row r="573" spans="1:4" ht="13" x14ac:dyDescent="0.15">
      <c r="A573" s="10"/>
      <c r="D573" s="10"/>
    </row>
    <row r="574" spans="1:4" ht="13" x14ac:dyDescent="0.15">
      <c r="A574" s="10"/>
      <c r="D574" s="10"/>
    </row>
    <row r="575" spans="1:4" ht="13" x14ac:dyDescent="0.15">
      <c r="A575" s="10"/>
      <c r="D575" s="10"/>
    </row>
    <row r="576" spans="1:4" ht="13" x14ac:dyDescent="0.15">
      <c r="A576" s="10"/>
      <c r="D576" s="10"/>
    </row>
    <row r="577" spans="1:4" ht="13" x14ac:dyDescent="0.15">
      <c r="A577" s="10"/>
      <c r="D577" s="10"/>
    </row>
    <row r="578" spans="1:4" ht="13" x14ac:dyDescent="0.15">
      <c r="A578" s="10"/>
      <c r="D578" s="10"/>
    </row>
    <row r="579" spans="1:4" ht="13" x14ac:dyDescent="0.15">
      <c r="A579" s="10"/>
      <c r="D579" s="10"/>
    </row>
    <row r="580" spans="1:4" ht="13" x14ac:dyDescent="0.15">
      <c r="A580" s="10"/>
      <c r="D580" s="10"/>
    </row>
    <row r="581" spans="1:4" ht="13" x14ac:dyDescent="0.15">
      <c r="A581" s="10"/>
      <c r="D581" s="10"/>
    </row>
    <row r="582" spans="1:4" ht="13" x14ac:dyDescent="0.15">
      <c r="A582" s="10"/>
      <c r="D582" s="10"/>
    </row>
    <row r="583" spans="1:4" ht="13" x14ac:dyDescent="0.15">
      <c r="A583" s="10"/>
      <c r="D583" s="10"/>
    </row>
    <row r="584" spans="1:4" ht="13" x14ac:dyDescent="0.15">
      <c r="A584" s="10"/>
      <c r="D584" s="10"/>
    </row>
    <row r="585" spans="1:4" ht="13" x14ac:dyDescent="0.15">
      <c r="A585" s="10"/>
      <c r="D585" s="10"/>
    </row>
    <row r="586" spans="1:4" ht="13" x14ac:dyDescent="0.15">
      <c r="A586" s="10"/>
      <c r="D586" s="10"/>
    </row>
    <row r="587" spans="1:4" ht="13" x14ac:dyDescent="0.15">
      <c r="A587" s="10"/>
      <c r="D587" s="10"/>
    </row>
    <row r="588" spans="1:4" ht="13" x14ac:dyDescent="0.15">
      <c r="A588" s="10"/>
      <c r="D588" s="10"/>
    </row>
    <row r="589" spans="1:4" ht="13" x14ac:dyDescent="0.15">
      <c r="A589" s="10"/>
      <c r="D589" s="10"/>
    </row>
    <row r="590" spans="1:4" ht="13" x14ac:dyDescent="0.15">
      <c r="A590" s="10"/>
      <c r="D590" s="10"/>
    </row>
    <row r="591" spans="1:4" ht="13" x14ac:dyDescent="0.15">
      <c r="A591" s="10"/>
      <c r="D591" s="10"/>
    </row>
    <row r="592" spans="1:4" ht="13" x14ac:dyDescent="0.15">
      <c r="A592" s="10"/>
      <c r="D592" s="10"/>
    </row>
    <row r="593" spans="1:4" ht="13" x14ac:dyDescent="0.15">
      <c r="A593" s="10"/>
      <c r="D593" s="10"/>
    </row>
    <row r="594" spans="1:4" ht="13" x14ac:dyDescent="0.15">
      <c r="A594" s="10"/>
      <c r="D594" s="10"/>
    </row>
    <row r="595" spans="1:4" ht="13" x14ac:dyDescent="0.15">
      <c r="A595" s="10"/>
      <c r="D595" s="10"/>
    </row>
    <row r="596" spans="1:4" ht="13" x14ac:dyDescent="0.15">
      <c r="A596" s="10"/>
      <c r="D596" s="10"/>
    </row>
    <row r="597" spans="1:4" ht="13" x14ac:dyDescent="0.15">
      <c r="A597" s="10"/>
      <c r="D597" s="10"/>
    </row>
    <row r="598" spans="1:4" ht="13" x14ac:dyDescent="0.15">
      <c r="A598" s="10"/>
      <c r="D598" s="10"/>
    </row>
    <row r="599" spans="1:4" ht="13" x14ac:dyDescent="0.15">
      <c r="A599" s="10"/>
      <c r="D599" s="10"/>
    </row>
    <row r="600" spans="1:4" ht="13" x14ac:dyDescent="0.15">
      <c r="A600" s="10"/>
      <c r="D600" s="10"/>
    </row>
    <row r="601" spans="1:4" ht="13" x14ac:dyDescent="0.15">
      <c r="A601" s="10"/>
      <c r="D601" s="10"/>
    </row>
    <row r="602" spans="1:4" ht="13" x14ac:dyDescent="0.15">
      <c r="A602" s="10"/>
      <c r="D602" s="10"/>
    </row>
    <row r="603" spans="1:4" ht="13" x14ac:dyDescent="0.15">
      <c r="A603" s="10"/>
      <c r="D603" s="10"/>
    </row>
    <row r="604" spans="1:4" ht="13" x14ac:dyDescent="0.15">
      <c r="A604" s="10"/>
      <c r="D604" s="10"/>
    </row>
    <row r="605" spans="1:4" ht="13" x14ac:dyDescent="0.15">
      <c r="A605" s="10"/>
      <c r="D605" s="10"/>
    </row>
    <row r="606" spans="1:4" ht="13" x14ac:dyDescent="0.15">
      <c r="A606" s="10"/>
      <c r="D606" s="10"/>
    </row>
    <row r="607" spans="1:4" ht="13" x14ac:dyDescent="0.15">
      <c r="A607" s="10"/>
      <c r="D607" s="10"/>
    </row>
    <row r="608" spans="1:4" ht="13" x14ac:dyDescent="0.15">
      <c r="A608" s="10"/>
      <c r="D608" s="10"/>
    </row>
    <row r="609" spans="1:4" ht="13" x14ac:dyDescent="0.15">
      <c r="A609" s="10"/>
      <c r="D609" s="10"/>
    </row>
    <row r="610" spans="1:4" ht="13" x14ac:dyDescent="0.15">
      <c r="A610" s="10"/>
      <c r="D610" s="10"/>
    </row>
    <row r="611" spans="1:4" ht="13" x14ac:dyDescent="0.15">
      <c r="A611" s="10"/>
      <c r="D611" s="10"/>
    </row>
    <row r="612" spans="1:4" ht="13" x14ac:dyDescent="0.15">
      <c r="A612" s="10"/>
      <c r="D612" s="10"/>
    </row>
    <row r="613" spans="1:4" ht="13" x14ac:dyDescent="0.15">
      <c r="A613" s="10"/>
      <c r="D613" s="10"/>
    </row>
    <row r="614" spans="1:4" ht="13" x14ac:dyDescent="0.15">
      <c r="A614" s="10"/>
      <c r="D614" s="10"/>
    </row>
    <row r="615" spans="1:4" ht="13" x14ac:dyDescent="0.15">
      <c r="A615" s="10"/>
      <c r="D615" s="10"/>
    </row>
    <row r="616" spans="1:4" ht="13" x14ac:dyDescent="0.15">
      <c r="A616" s="10"/>
      <c r="D616" s="10"/>
    </row>
    <row r="617" spans="1:4" ht="13" x14ac:dyDescent="0.15">
      <c r="A617" s="10"/>
      <c r="D617" s="10"/>
    </row>
    <row r="618" spans="1:4" ht="13" x14ac:dyDescent="0.15">
      <c r="A618" s="10"/>
      <c r="D618" s="10"/>
    </row>
    <row r="619" spans="1:4" ht="13" x14ac:dyDescent="0.15">
      <c r="A619" s="10"/>
      <c r="D619" s="10"/>
    </row>
    <row r="620" spans="1:4" ht="13" x14ac:dyDescent="0.15">
      <c r="A620" s="10"/>
      <c r="D620" s="10"/>
    </row>
    <row r="621" spans="1:4" ht="13" x14ac:dyDescent="0.15">
      <c r="A621" s="10"/>
      <c r="D621" s="10"/>
    </row>
    <row r="622" spans="1:4" ht="13" x14ac:dyDescent="0.15">
      <c r="A622" s="10"/>
      <c r="D622" s="10"/>
    </row>
    <row r="623" spans="1:4" ht="13" x14ac:dyDescent="0.15">
      <c r="A623" s="10"/>
      <c r="D623" s="10"/>
    </row>
    <row r="624" spans="1:4" ht="13" x14ac:dyDescent="0.15">
      <c r="A624" s="10"/>
      <c r="D624" s="10"/>
    </row>
    <row r="625" spans="1:4" ht="13" x14ac:dyDescent="0.15">
      <c r="A625" s="10"/>
      <c r="D625" s="10"/>
    </row>
    <row r="626" spans="1:4" ht="13" x14ac:dyDescent="0.15">
      <c r="A626" s="10"/>
      <c r="D626" s="10"/>
    </row>
    <row r="627" spans="1:4" ht="13" x14ac:dyDescent="0.15">
      <c r="A627" s="10"/>
      <c r="D627" s="10"/>
    </row>
    <row r="628" spans="1:4" ht="13" x14ac:dyDescent="0.15">
      <c r="A628" s="10"/>
      <c r="D628" s="10"/>
    </row>
    <row r="629" spans="1:4" ht="13" x14ac:dyDescent="0.15">
      <c r="A629" s="10"/>
      <c r="D629" s="10"/>
    </row>
    <row r="630" spans="1:4" ht="13" x14ac:dyDescent="0.15">
      <c r="A630" s="10"/>
      <c r="D630" s="10"/>
    </row>
    <row r="631" spans="1:4" ht="13" x14ac:dyDescent="0.15">
      <c r="A631" s="10"/>
      <c r="D631" s="10"/>
    </row>
    <row r="632" spans="1:4" ht="13" x14ac:dyDescent="0.15">
      <c r="A632" s="10"/>
      <c r="D632" s="10"/>
    </row>
    <row r="633" spans="1:4" ht="13" x14ac:dyDescent="0.15">
      <c r="A633" s="10"/>
      <c r="D633" s="10"/>
    </row>
    <row r="634" spans="1:4" ht="13" x14ac:dyDescent="0.15">
      <c r="A634" s="10"/>
      <c r="D634" s="10"/>
    </row>
    <row r="635" spans="1:4" ht="13" x14ac:dyDescent="0.15">
      <c r="A635" s="10"/>
      <c r="D635" s="10"/>
    </row>
    <row r="636" spans="1:4" ht="13" x14ac:dyDescent="0.15">
      <c r="A636" s="10"/>
      <c r="D636" s="10"/>
    </row>
    <row r="637" spans="1:4" ht="13" x14ac:dyDescent="0.15">
      <c r="A637" s="10"/>
      <c r="D637" s="10"/>
    </row>
    <row r="638" spans="1:4" ht="13" x14ac:dyDescent="0.15">
      <c r="A638" s="10"/>
      <c r="D638" s="10"/>
    </row>
    <row r="639" spans="1:4" ht="13" x14ac:dyDescent="0.15">
      <c r="A639" s="10"/>
      <c r="D639" s="10"/>
    </row>
    <row r="640" spans="1:4" ht="13" x14ac:dyDescent="0.15">
      <c r="A640" s="10"/>
      <c r="D640" s="10"/>
    </row>
    <row r="641" spans="1:4" ht="13" x14ac:dyDescent="0.15">
      <c r="A641" s="10"/>
      <c r="D641" s="10"/>
    </row>
    <row r="642" spans="1:4" ht="13" x14ac:dyDescent="0.15">
      <c r="A642" s="10"/>
      <c r="D642" s="10"/>
    </row>
    <row r="643" spans="1:4" ht="13" x14ac:dyDescent="0.15">
      <c r="A643" s="10"/>
      <c r="D643" s="10"/>
    </row>
    <row r="644" spans="1:4" ht="13" x14ac:dyDescent="0.15">
      <c r="A644" s="10"/>
      <c r="D644" s="10"/>
    </row>
    <row r="645" spans="1:4" ht="13" x14ac:dyDescent="0.15">
      <c r="A645" s="10"/>
      <c r="D645" s="10"/>
    </row>
    <row r="646" spans="1:4" ht="13" x14ac:dyDescent="0.15">
      <c r="A646" s="10"/>
      <c r="D646" s="10"/>
    </row>
    <row r="647" spans="1:4" ht="13" x14ac:dyDescent="0.15">
      <c r="A647" s="10"/>
      <c r="D647" s="10"/>
    </row>
    <row r="648" spans="1:4" ht="13" x14ac:dyDescent="0.15">
      <c r="A648" s="10"/>
      <c r="D648" s="10"/>
    </row>
    <row r="649" spans="1:4" ht="13" x14ac:dyDescent="0.15">
      <c r="A649" s="10"/>
      <c r="D649" s="10"/>
    </row>
    <row r="650" spans="1:4" ht="13" x14ac:dyDescent="0.15">
      <c r="A650" s="10"/>
      <c r="D650" s="10"/>
    </row>
    <row r="651" spans="1:4" ht="13" x14ac:dyDescent="0.15">
      <c r="A651" s="10"/>
      <c r="D651" s="10"/>
    </row>
    <row r="652" spans="1:4" ht="13" x14ac:dyDescent="0.15">
      <c r="A652" s="10"/>
      <c r="D652" s="10"/>
    </row>
    <row r="653" spans="1:4" ht="13" x14ac:dyDescent="0.15">
      <c r="A653" s="10"/>
      <c r="D653" s="10"/>
    </row>
    <row r="654" spans="1:4" ht="13" x14ac:dyDescent="0.15">
      <c r="A654" s="10"/>
      <c r="D654" s="10"/>
    </row>
    <row r="655" spans="1:4" ht="13" x14ac:dyDescent="0.15">
      <c r="A655" s="10"/>
      <c r="D655" s="10"/>
    </row>
    <row r="656" spans="1:4" ht="13" x14ac:dyDescent="0.15">
      <c r="A656" s="10"/>
      <c r="D656" s="10"/>
    </row>
    <row r="657" spans="1:4" ht="13" x14ac:dyDescent="0.15">
      <c r="A657" s="10"/>
      <c r="D657" s="10"/>
    </row>
    <row r="658" spans="1:4" ht="13" x14ac:dyDescent="0.15">
      <c r="A658" s="10"/>
      <c r="D658" s="10"/>
    </row>
    <row r="659" spans="1:4" ht="13" x14ac:dyDescent="0.15">
      <c r="A659" s="10"/>
      <c r="D659" s="10"/>
    </row>
    <row r="660" spans="1:4" ht="13" x14ac:dyDescent="0.15">
      <c r="A660" s="10"/>
      <c r="D660" s="10"/>
    </row>
    <row r="661" spans="1:4" ht="13" x14ac:dyDescent="0.15">
      <c r="A661" s="10"/>
      <c r="D661" s="10"/>
    </row>
    <row r="662" spans="1:4" ht="13" x14ac:dyDescent="0.15">
      <c r="A662" s="10"/>
      <c r="D662" s="10"/>
    </row>
    <row r="663" spans="1:4" ht="13" x14ac:dyDescent="0.15">
      <c r="A663" s="10"/>
      <c r="D663" s="10"/>
    </row>
    <row r="664" spans="1:4" ht="13" x14ac:dyDescent="0.15">
      <c r="A664" s="10"/>
      <c r="D664" s="10"/>
    </row>
    <row r="665" spans="1:4" ht="13" x14ac:dyDescent="0.15">
      <c r="A665" s="10"/>
      <c r="D665" s="10"/>
    </row>
    <row r="666" spans="1:4" ht="13" x14ac:dyDescent="0.15">
      <c r="A666" s="10"/>
      <c r="D666" s="10"/>
    </row>
    <row r="667" spans="1:4" ht="13" x14ac:dyDescent="0.15">
      <c r="A667" s="10"/>
      <c r="D667" s="10"/>
    </row>
    <row r="668" spans="1:4" ht="13" x14ac:dyDescent="0.15">
      <c r="A668" s="10"/>
      <c r="D668" s="10"/>
    </row>
    <row r="669" spans="1:4" ht="13" x14ac:dyDescent="0.15">
      <c r="A669" s="10"/>
      <c r="D669" s="10"/>
    </row>
    <row r="670" spans="1:4" ht="13" x14ac:dyDescent="0.15">
      <c r="A670" s="10"/>
      <c r="D670" s="10"/>
    </row>
    <row r="671" spans="1:4" ht="13" x14ac:dyDescent="0.15">
      <c r="A671" s="10"/>
      <c r="D671" s="10"/>
    </row>
    <row r="672" spans="1:4" ht="13" x14ac:dyDescent="0.15">
      <c r="A672" s="10"/>
      <c r="D672" s="10"/>
    </row>
    <row r="673" spans="1:4" ht="13" x14ac:dyDescent="0.15">
      <c r="A673" s="10"/>
      <c r="D673" s="10"/>
    </row>
    <row r="674" spans="1:4" ht="13" x14ac:dyDescent="0.15">
      <c r="A674" s="10"/>
      <c r="D674" s="10"/>
    </row>
    <row r="675" spans="1:4" ht="13" x14ac:dyDescent="0.15">
      <c r="A675" s="10"/>
      <c r="D675" s="10"/>
    </row>
    <row r="676" spans="1:4" ht="13" x14ac:dyDescent="0.15">
      <c r="A676" s="10"/>
      <c r="D676" s="10"/>
    </row>
    <row r="677" spans="1:4" ht="13" x14ac:dyDescent="0.15">
      <c r="A677" s="10"/>
      <c r="D677" s="10"/>
    </row>
    <row r="678" spans="1:4" ht="13" x14ac:dyDescent="0.15">
      <c r="A678" s="10"/>
      <c r="D678" s="10"/>
    </row>
    <row r="679" spans="1:4" ht="13" x14ac:dyDescent="0.15">
      <c r="A679" s="10"/>
      <c r="D679" s="10"/>
    </row>
    <row r="680" spans="1:4" ht="13" x14ac:dyDescent="0.15">
      <c r="A680" s="10"/>
      <c r="D680" s="10"/>
    </row>
    <row r="681" spans="1:4" ht="13" x14ac:dyDescent="0.15">
      <c r="A681" s="10"/>
      <c r="D681" s="10"/>
    </row>
    <row r="682" spans="1:4" ht="13" x14ac:dyDescent="0.15">
      <c r="A682" s="10"/>
      <c r="D682" s="10"/>
    </row>
    <row r="683" spans="1:4" ht="13" x14ac:dyDescent="0.15">
      <c r="A683" s="10"/>
      <c r="D683" s="10"/>
    </row>
    <row r="684" spans="1:4" ht="13" x14ac:dyDescent="0.15">
      <c r="A684" s="10"/>
      <c r="D684" s="10"/>
    </row>
    <row r="685" spans="1:4" ht="13" x14ac:dyDescent="0.15">
      <c r="A685" s="10"/>
      <c r="D685" s="10"/>
    </row>
    <row r="686" spans="1:4" ht="13" x14ac:dyDescent="0.15">
      <c r="A686" s="10"/>
      <c r="D686" s="10"/>
    </row>
    <row r="687" spans="1:4" ht="13" x14ac:dyDescent="0.15">
      <c r="A687" s="10"/>
      <c r="D687" s="10"/>
    </row>
    <row r="688" spans="1:4" ht="13" x14ac:dyDescent="0.15">
      <c r="A688" s="10"/>
      <c r="D688" s="10"/>
    </row>
    <row r="689" spans="1:4" ht="13" x14ac:dyDescent="0.15">
      <c r="A689" s="10"/>
      <c r="D689" s="10"/>
    </row>
    <row r="690" spans="1:4" ht="13" x14ac:dyDescent="0.15">
      <c r="A690" s="10"/>
      <c r="D690" s="10"/>
    </row>
    <row r="691" spans="1:4" ht="13" x14ac:dyDescent="0.15">
      <c r="A691" s="10"/>
      <c r="D691" s="10"/>
    </row>
    <row r="692" spans="1:4" ht="13" x14ac:dyDescent="0.15">
      <c r="A692" s="10"/>
      <c r="D692" s="10"/>
    </row>
    <row r="693" spans="1:4" ht="13" x14ac:dyDescent="0.15">
      <c r="A693" s="10"/>
      <c r="D693" s="10"/>
    </row>
    <row r="694" spans="1:4" ht="13" x14ac:dyDescent="0.15">
      <c r="A694" s="10"/>
      <c r="D694" s="10"/>
    </row>
    <row r="695" spans="1:4" ht="13" x14ac:dyDescent="0.15">
      <c r="A695" s="10"/>
      <c r="D695" s="10"/>
    </row>
    <row r="696" spans="1:4" ht="13" x14ac:dyDescent="0.15">
      <c r="A696" s="10"/>
      <c r="D696" s="10"/>
    </row>
    <row r="697" spans="1:4" ht="13" x14ac:dyDescent="0.15">
      <c r="A697" s="10"/>
      <c r="D697" s="10"/>
    </row>
    <row r="698" spans="1:4" ht="13" x14ac:dyDescent="0.15">
      <c r="A698" s="10"/>
      <c r="D698" s="10"/>
    </row>
    <row r="699" spans="1:4" ht="13" x14ac:dyDescent="0.15">
      <c r="A699" s="10"/>
      <c r="D699" s="10"/>
    </row>
    <row r="700" spans="1:4" ht="13" x14ac:dyDescent="0.15">
      <c r="A700" s="10"/>
      <c r="D700" s="10"/>
    </row>
    <row r="701" spans="1:4" ht="13" x14ac:dyDescent="0.15">
      <c r="A701" s="10"/>
      <c r="D701" s="10"/>
    </row>
    <row r="702" spans="1:4" ht="13" x14ac:dyDescent="0.15">
      <c r="A702" s="10"/>
      <c r="D702" s="10"/>
    </row>
    <row r="703" spans="1:4" ht="13" x14ac:dyDescent="0.15">
      <c r="A703" s="10"/>
      <c r="D703" s="10"/>
    </row>
    <row r="704" spans="1:4" ht="13" x14ac:dyDescent="0.15">
      <c r="A704" s="10"/>
      <c r="D704" s="10"/>
    </row>
    <row r="705" spans="1:4" ht="13" x14ac:dyDescent="0.15">
      <c r="A705" s="10"/>
      <c r="D705" s="10"/>
    </row>
    <row r="706" spans="1:4" ht="13" x14ac:dyDescent="0.15">
      <c r="A706" s="10"/>
      <c r="D706" s="10"/>
    </row>
    <row r="707" spans="1:4" ht="13" x14ac:dyDescent="0.15">
      <c r="A707" s="10"/>
      <c r="D707" s="10"/>
    </row>
    <row r="708" spans="1:4" ht="13" x14ac:dyDescent="0.15">
      <c r="A708" s="10"/>
      <c r="D708" s="10"/>
    </row>
    <row r="709" spans="1:4" ht="13" x14ac:dyDescent="0.15">
      <c r="A709" s="10"/>
      <c r="D709" s="10"/>
    </row>
    <row r="710" spans="1:4" ht="13" x14ac:dyDescent="0.15">
      <c r="A710" s="10"/>
      <c r="D710" s="10"/>
    </row>
    <row r="711" spans="1:4" ht="13" x14ac:dyDescent="0.15">
      <c r="A711" s="10"/>
      <c r="D711" s="10"/>
    </row>
    <row r="712" spans="1:4" ht="13" x14ac:dyDescent="0.15">
      <c r="A712" s="10"/>
      <c r="D712" s="10"/>
    </row>
    <row r="713" spans="1:4" ht="13" x14ac:dyDescent="0.15">
      <c r="A713" s="10"/>
      <c r="D713" s="10"/>
    </row>
    <row r="714" spans="1:4" ht="13" x14ac:dyDescent="0.15">
      <c r="A714" s="10"/>
      <c r="D714" s="10"/>
    </row>
    <row r="715" spans="1:4" ht="13" x14ac:dyDescent="0.15">
      <c r="A715" s="10"/>
      <c r="D715" s="10"/>
    </row>
    <row r="716" spans="1:4" ht="13" x14ac:dyDescent="0.15">
      <c r="A716" s="10"/>
      <c r="D716" s="10"/>
    </row>
    <row r="717" spans="1:4" ht="13" x14ac:dyDescent="0.15">
      <c r="A717" s="10"/>
      <c r="D717" s="10"/>
    </row>
    <row r="718" spans="1:4" ht="13" x14ac:dyDescent="0.15">
      <c r="A718" s="10"/>
      <c r="D718" s="10"/>
    </row>
    <row r="719" spans="1:4" ht="13" x14ac:dyDescent="0.15">
      <c r="A719" s="10"/>
      <c r="D719" s="10"/>
    </row>
    <row r="720" spans="1:4" ht="13" x14ac:dyDescent="0.15">
      <c r="A720" s="10"/>
      <c r="D720" s="10"/>
    </row>
    <row r="721" spans="1:4" ht="13" x14ac:dyDescent="0.15">
      <c r="A721" s="10"/>
      <c r="D721" s="10"/>
    </row>
    <row r="722" spans="1:4" ht="13" x14ac:dyDescent="0.15">
      <c r="A722" s="10"/>
      <c r="D722" s="10"/>
    </row>
    <row r="723" spans="1:4" ht="13" x14ac:dyDescent="0.15">
      <c r="A723" s="10"/>
      <c r="D723" s="10"/>
    </row>
    <row r="724" spans="1:4" ht="13" x14ac:dyDescent="0.15">
      <c r="A724" s="10"/>
      <c r="D724" s="10"/>
    </row>
    <row r="725" spans="1:4" ht="13" x14ac:dyDescent="0.15">
      <c r="A725" s="10"/>
      <c r="D725" s="10"/>
    </row>
    <row r="726" spans="1:4" ht="13" x14ac:dyDescent="0.15">
      <c r="A726" s="10"/>
      <c r="D726" s="10"/>
    </row>
    <row r="727" spans="1:4" ht="13" x14ac:dyDescent="0.15">
      <c r="A727" s="10"/>
      <c r="D727" s="10"/>
    </row>
    <row r="728" spans="1:4" ht="13" x14ac:dyDescent="0.15">
      <c r="A728" s="10"/>
      <c r="D728" s="10"/>
    </row>
    <row r="729" spans="1:4" ht="13" x14ac:dyDescent="0.15">
      <c r="A729" s="10"/>
      <c r="D729" s="10"/>
    </row>
    <row r="730" spans="1:4" ht="13" x14ac:dyDescent="0.15">
      <c r="A730" s="10"/>
      <c r="D730" s="10"/>
    </row>
    <row r="731" spans="1:4" ht="13" x14ac:dyDescent="0.15">
      <c r="A731" s="10"/>
      <c r="D731" s="10"/>
    </row>
    <row r="732" spans="1:4" ht="13" x14ac:dyDescent="0.15">
      <c r="A732" s="10"/>
      <c r="D732" s="10"/>
    </row>
    <row r="733" spans="1:4" ht="13" x14ac:dyDescent="0.15">
      <c r="A733" s="10"/>
      <c r="D733" s="10"/>
    </row>
    <row r="734" spans="1:4" ht="13" x14ac:dyDescent="0.15">
      <c r="A734" s="10"/>
      <c r="D734" s="10"/>
    </row>
    <row r="735" spans="1:4" ht="13" x14ac:dyDescent="0.15">
      <c r="A735" s="10"/>
      <c r="D735" s="10"/>
    </row>
    <row r="736" spans="1:4" ht="13" x14ac:dyDescent="0.15">
      <c r="A736" s="10"/>
      <c r="D736" s="10"/>
    </row>
    <row r="737" spans="1:4" ht="13" x14ac:dyDescent="0.15">
      <c r="A737" s="10"/>
      <c r="D737" s="10"/>
    </row>
    <row r="738" spans="1:4" ht="13" x14ac:dyDescent="0.15">
      <c r="A738" s="10"/>
      <c r="D738" s="10"/>
    </row>
    <row r="739" spans="1:4" ht="13" x14ac:dyDescent="0.15">
      <c r="A739" s="10"/>
      <c r="D739" s="10"/>
    </row>
    <row r="740" spans="1:4" ht="13" x14ac:dyDescent="0.15">
      <c r="A740" s="10"/>
      <c r="D740" s="10"/>
    </row>
    <row r="741" spans="1:4" ht="13" x14ac:dyDescent="0.15">
      <c r="A741" s="10"/>
      <c r="D741" s="10"/>
    </row>
    <row r="742" spans="1:4" ht="13" x14ac:dyDescent="0.15">
      <c r="A742" s="10"/>
      <c r="D742" s="10"/>
    </row>
    <row r="743" spans="1:4" ht="13" x14ac:dyDescent="0.15">
      <c r="A743" s="10"/>
      <c r="D743" s="10"/>
    </row>
    <row r="744" spans="1:4" ht="13" x14ac:dyDescent="0.15">
      <c r="A744" s="10"/>
      <c r="D744" s="10"/>
    </row>
    <row r="745" spans="1:4" ht="13" x14ac:dyDescent="0.15">
      <c r="A745" s="10"/>
      <c r="D745" s="10"/>
    </row>
    <row r="746" spans="1:4" ht="13" x14ac:dyDescent="0.15">
      <c r="A746" s="10"/>
      <c r="D746" s="10"/>
    </row>
    <row r="747" spans="1:4" ht="13" x14ac:dyDescent="0.15">
      <c r="A747" s="10"/>
      <c r="D747" s="10"/>
    </row>
    <row r="748" spans="1:4" ht="13" x14ac:dyDescent="0.15">
      <c r="A748" s="10"/>
      <c r="D748" s="10"/>
    </row>
    <row r="749" spans="1:4" ht="13" x14ac:dyDescent="0.15">
      <c r="A749" s="10"/>
      <c r="D749" s="10"/>
    </row>
    <row r="750" spans="1:4" ht="13" x14ac:dyDescent="0.15">
      <c r="A750" s="10"/>
      <c r="D750" s="10"/>
    </row>
    <row r="751" spans="1:4" ht="13" x14ac:dyDescent="0.15">
      <c r="A751" s="10"/>
      <c r="D751" s="10"/>
    </row>
    <row r="752" spans="1:4" ht="13" x14ac:dyDescent="0.15">
      <c r="A752" s="10"/>
      <c r="D752" s="10"/>
    </row>
    <row r="753" spans="1:4" ht="13" x14ac:dyDescent="0.15">
      <c r="A753" s="10"/>
      <c r="D753" s="10"/>
    </row>
    <row r="754" spans="1:4" ht="13" x14ac:dyDescent="0.15">
      <c r="A754" s="10"/>
      <c r="D754" s="10"/>
    </row>
    <row r="755" spans="1:4" ht="13" x14ac:dyDescent="0.15">
      <c r="A755" s="10"/>
      <c r="D755" s="10"/>
    </row>
    <row r="756" spans="1:4" ht="13" x14ac:dyDescent="0.15">
      <c r="A756" s="10"/>
      <c r="D756" s="10"/>
    </row>
    <row r="757" spans="1:4" ht="13" x14ac:dyDescent="0.15">
      <c r="A757" s="10"/>
      <c r="D757" s="10"/>
    </row>
    <row r="758" spans="1:4" ht="13" x14ac:dyDescent="0.15">
      <c r="A758" s="10"/>
      <c r="D758" s="10"/>
    </row>
    <row r="759" spans="1:4" ht="13" x14ac:dyDescent="0.15">
      <c r="A759" s="10"/>
      <c r="D759" s="10"/>
    </row>
    <row r="760" spans="1:4" ht="13" x14ac:dyDescent="0.15">
      <c r="A760" s="10"/>
      <c r="D760" s="10"/>
    </row>
    <row r="761" spans="1:4" ht="13" x14ac:dyDescent="0.15">
      <c r="A761" s="10"/>
      <c r="D761" s="10"/>
    </row>
    <row r="762" spans="1:4" ht="13" x14ac:dyDescent="0.15">
      <c r="A762" s="10"/>
      <c r="D762" s="10"/>
    </row>
    <row r="763" spans="1:4" ht="13" x14ac:dyDescent="0.15">
      <c r="A763" s="10"/>
      <c r="D763" s="10"/>
    </row>
    <row r="764" spans="1:4" ht="13" x14ac:dyDescent="0.15">
      <c r="A764" s="10"/>
      <c r="D764" s="10"/>
    </row>
    <row r="765" spans="1:4" ht="13" x14ac:dyDescent="0.15">
      <c r="A765" s="10"/>
      <c r="D765" s="10"/>
    </row>
    <row r="766" spans="1:4" ht="13" x14ac:dyDescent="0.15">
      <c r="A766" s="10"/>
      <c r="D766" s="10"/>
    </row>
    <row r="767" spans="1:4" ht="13" x14ac:dyDescent="0.15">
      <c r="A767" s="10"/>
      <c r="D767" s="10"/>
    </row>
    <row r="768" spans="1:4" ht="13" x14ac:dyDescent="0.15">
      <c r="A768" s="10"/>
      <c r="D768" s="10"/>
    </row>
    <row r="769" spans="1:4" ht="13" x14ac:dyDescent="0.15">
      <c r="A769" s="10"/>
      <c r="D769" s="10"/>
    </row>
    <row r="770" spans="1:4" ht="13" x14ac:dyDescent="0.15">
      <c r="A770" s="10"/>
      <c r="D770" s="10"/>
    </row>
    <row r="771" spans="1:4" ht="13" x14ac:dyDescent="0.15">
      <c r="A771" s="10"/>
      <c r="D771" s="10"/>
    </row>
    <row r="772" spans="1:4" ht="13" x14ac:dyDescent="0.15">
      <c r="A772" s="10"/>
      <c r="D772" s="10"/>
    </row>
    <row r="773" spans="1:4" ht="13" x14ac:dyDescent="0.15">
      <c r="A773" s="10"/>
      <c r="D773" s="10"/>
    </row>
    <row r="774" spans="1:4" ht="13" x14ac:dyDescent="0.15">
      <c r="A774" s="10"/>
      <c r="D774" s="10"/>
    </row>
    <row r="775" spans="1:4" ht="13" x14ac:dyDescent="0.15">
      <c r="A775" s="10"/>
      <c r="D775" s="10"/>
    </row>
    <row r="776" spans="1:4" ht="13" x14ac:dyDescent="0.15">
      <c r="A776" s="10"/>
      <c r="D776" s="10"/>
    </row>
    <row r="777" spans="1:4" ht="13" x14ac:dyDescent="0.15">
      <c r="A777" s="10"/>
      <c r="D777" s="10"/>
    </row>
    <row r="778" spans="1:4" ht="13" x14ac:dyDescent="0.15">
      <c r="A778" s="10"/>
      <c r="D778" s="10"/>
    </row>
    <row r="779" spans="1:4" ht="13" x14ac:dyDescent="0.15">
      <c r="A779" s="10"/>
      <c r="D779" s="10"/>
    </row>
    <row r="780" spans="1:4" ht="13" x14ac:dyDescent="0.15">
      <c r="A780" s="10"/>
      <c r="D780" s="10"/>
    </row>
    <row r="781" spans="1:4" ht="13" x14ac:dyDescent="0.15">
      <c r="A781" s="10"/>
      <c r="D781" s="10"/>
    </row>
    <row r="782" spans="1:4" ht="13" x14ac:dyDescent="0.15">
      <c r="A782" s="10"/>
      <c r="D782" s="10"/>
    </row>
    <row r="783" spans="1:4" ht="13" x14ac:dyDescent="0.15">
      <c r="A783" s="10"/>
      <c r="D783" s="10"/>
    </row>
    <row r="784" spans="1:4" ht="13" x14ac:dyDescent="0.15">
      <c r="A784" s="10"/>
      <c r="D784" s="10"/>
    </row>
    <row r="785" spans="1:4" ht="13" x14ac:dyDescent="0.15">
      <c r="A785" s="10"/>
      <c r="D785" s="10"/>
    </row>
    <row r="786" spans="1:4" ht="13" x14ac:dyDescent="0.15">
      <c r="A786" s="10"/>
      <c r="D786" s="10"/>
    </row>
    <row r="787" spans="1:4" ht="13" x14ac:dyDescent="0.15">
      <c r="A787" s="10"/>
      <c r="D787" s="10"/>
    </row>
    <row r="788" spans="1:4" ht="13" x14ac:dyDescent="0.15">
      <c r="A788" s="10"/>
      <c r="D788" s="10"/>
    </row>
    <row r="789" spans="1:4" ht="13" x14ac:dyDescent="0.15">
      <c r="A789" s="10"/>
      <c r="D789" s="10"/>
    </row>
    <row r="790" spans="1:4" ht="13" x14ac:dyDescent="0.15">
      <c r="A790" s="10"/>
      <c r="D790" s="10"/>
    </row>
    <row r="791" spans="1:4" ht="13" x14ac:dyDescent="0.15">
      <c r="A791" s="10"/>
      <c r="D791" s="10"/>
    </row>
    <row r="792" spans="1:4" ht="13" x14ac:dyDescent="0.15">
      <c r="A792" s="10"/>
      <c r="D792" s="10"/>
    </row>
    <row r="793" spans="1:4" ht="13" x14ac:dyDescent="0.15">
      <c r="A793" s="10"/>
      <c r="D793" s="10"/>
    </row>
    <row r="794" spans="1:4" ht="13" x14ac:dyDescent="0.15">
      <c r="A794" s="10"/>
      <c r="D794" s="10"/>
    </row>
    <row r="795" spans="1:4" ht="13" x14ac:dyDescent="0.15">
      <c r="A795" s="10"/>
      <c r="D795" s="10"/>
    </row>
    <row r="796" spans="1:4" ht="13" x14ac:dyDescent="0.15">
      <c r="A796" s="10"/>
      <c r="D796" s="10"/>
    </row>
    <row r="797" spans="1:4" ht="13" x14ac:dyDescent="0.15">
      <c r="A797" s="10"/>
      <c r="D797" s="10"/>
    </row>
    <row r="798" spans="1:4" ht="13" x14ac:dyDescent="0.15">
      <c r="A798" s="10"/>
      <c r="D798" s="10"/>
    </row>
    <row r="799" spans="1:4" ht="13" x14ac:dyDescent="0.15">
      <c r="A799" s="10"/>
      <c r="D799" s="10"/>
    </row>
    <row r="800" spans="1:4" ht="13" x14ac:dyDescent="0.15">
      <c r="A800" s="10"/>
      <c r="D800" s="10"/>
    </row>
    <row r="801" spans="1:4" ht="13" x14ac:dyDescent="0.15">
      <c r="A801" s="10"/>
      <c r="D801" s="10"/>
    </row>
    <row r="802" spans="1:4" ht="13" x14ac:dyDescent="0.15">
      <c r="A802" s="10"/>
      <c r="D802" s="10"/>
    </row>
    <row r="803" spans="1:4" ht="13" x14ac:dyDescent="0.15">
      <c r="A803" s="10"/>
      <c r="D803" s="10"/>
    </row>
    <row r="804" spans="1:4" ht="13" x14ac:dyDescent="0.15">
      <c r="A804" s="10"/>
      <c r="D804" s="10"/>
    </row>
    <row r="805" spans="1:4" ht="13" x14ac:dyDescent="0.15">
      <c r="A805" s="10"/>
      <c r="D805" s="10"/>
    </row>
    <row r="806" spans="1:4" ht="13" x14ac:dyDescent="0.15">
      <c r="A806" s="10"/>
      <c r="D806" s="10"/>
    </row>
    <row r="807" spans="1:4" ht="13" x14ac:dyDescent="0.15">
      <c r="A807" s="10"/>
      <c r="D807" s="10"/>
    </row>
    <row r="808" spans="1:4" ht="13" x14ac:dyDescent="0.15">
      <c r="A808" s="10"/>
      <c r="D808" s="10"/>
    </row>
    <row r="809" spans="1:4" ht="13" x14ac:dyDescent="0.15">
      <c r="A809" s="10"/>
      <c r="D809" s="10"/>
    </row>
    <row r="810" spans="1:4" ht="13" x14ac:dyDescent="0.15">
      <c r="A810" s="10"/>
      <c r="D810" s="10"/>
    </row>
    <row r="811" spans="1:4" ht="13" x14ac:dyDescent="0.15">
      <c r="A811" s="10"/>
      <c r="D811" s="10"/>
    </row>
    <row r="812" spans="1:4" ht="13" x14ac:dyDescent="0.15">
      <c r="A812" s="10"/>
      <c r="D812" s="10"/>
    </row>
    <row r="813" spans="1:4" ht="13" x14ac:dyDescent="0.15">
      <c r="A813" s="10"/>
      <c r="D813" s="10"/>
    </row>
    <row r="814" spans="1:4" ht="13" x14ac:dyDescent="0.15">
      <c r="A814" s="10"/>
      <c r="D814" s="10"/>
    </row>
    <row r="815" spans="1:4" ht="13" x14ac:dyDescent="0.15">
      <c r="A815" s="10"/>
      <c r="D815" s="10"/>
    </row>
    <row r="816" spans="1:4" ht="13" x14ac:dyDescent="0.15">
      <c r="A816" s="10"/>
      <c r="D816" s="10"/>
    </row>
    <row r="817" spans="1:4" ht="13" x14ac:dyDescent="0.15">
      <c r="A817" s="10"/>
      <c r="D817" s="10"/>
    </row>
    <row r="818" spans="1:4" ht="13" x14ac:dyDescent="0.15">
      <c r="A818" s="10"/>
      <c r="D818" s="10"/>
    </row>
    <row r="819" spans="1:4" ht="13" x14ac:dyDescent="0.15">
      <c r="A819" s="10"/>
      <c r="D819" s="10"/>
    </row>
    <row r="820" spans="1:4" ht="13" x14ac:dyDescent="0.15">
      <c r="A820" s="10"/>
      <c r="D820" s="10"/>
    </row>
    <row r="821" spans="1:4" ht="13" x14ac:dyDescent="0.15">
      <c r="A821" s="10"/>
      <c r="D821" s="10"/>
    </row>
    <row r="822" spans="1:4" ht="13" x14ac:dyDescent="0.15">
      <c r="A822" s="10"/>
      <c r="D822" s="10"/>
    </row>
    <row r="823" spans="1:4" ht="13" x14ac:dyDescent="0.15">
      <c r="A823" s="10"/>
      <c r="D823" s="10"/>
    </row>
    <row r="824" spans="1:4" ht="13" x14ac:dyDescent="0.15">
      <c r="A824" s="10"/>
      <c r="D824" s="10"/>
    </row>
    <row r="825" spans="1:4" ht="13" x14ac:dyDescent="0.15">
      <c r="A825" s="10"/>
      <c r="D825" s="10"/>
    </row>
    <row r="826" spans="1:4" ht="13" x14ac:dyDescent="0.15">
      <c r="A826" s="10"/>
      <c r="D826" s="10"/>
    </row>
    <row r="827" spans="1:4" ht="13" x14ac:dyDescent="0.15">
      <c r="A827" s="10"/>
      <c r="D827" s="10"/>
    </row>
    <row r="828" spans="1:4" ht="13" x14ac:dyDescent="0.15">
      <c r="A828" s="10"/>
      <c r="D828" s="10"/>
    </row>
    <row r="829" spans="1:4" ht="13" x14ac:dyDescent="0.15">
      <c r="A829" s="10"/>
      <c r="D829" s="10"/>
    </row>
    <row r="830" spans="1:4" ht="13" x14ac:dyDescent="0.15">
      <c r="A830" s="10"/>
      <c r="D830" s="10"/>
    </row>
    <row r="831" spans="1:4" ht="13" x14ac:dyDescent="0.15">
      <c r="A831" s="10"/>
      <c r="D831" s="10"/>
    </row>
    <row r="832" spans="1:4" ht="13" x14ac:dyDescent="0.15">
      <c r="A832" s="10"/>
      <c r="D832" s="10"/>
    </row>
    <row r="833" spans="1:4" ht="13" x14ac:dyDescent="0.15">
      <c r="A833" s="10"/>
      <c r="D833" s="10"/>
    </row>
    <row r="834" spans="1:4" ht="13" x14ac:dyDescent="0.15">
      <c r="A834" s="10"/>
      <c r="D834" s="10"/>
    </row>
    <row r="835" spans="1:4" ht="13" x14ac:dyDescent="0.15">
      <c r="A835" s="10"/>
      <c r="D835" s="10"/>
    </row>
    <row r="836" spans="1:4" ht="13" x14ac:dyDescent="0.15">
      <c r="A836" s="10"/>
      <c r="D836" s="10"/>
    </row>
    <row r="837" spans="1:4" ht="13" x14ac:dyDescent="0.15">
      <c r="A837" s="10"/>
      <c r="D837" s="10"/>
    </row>
    <row r="838" spans="1:4" ht="13" x14ac:dyDescent="0.15">
      <c r="A838" s="10"/>
      <c r="D838" s="10"/>
    </row>
    <row r="839" spans="1:4" ht="13" x14ac:dyDescent="0.15">
      <c r="A839" s="10"/>
      <c r="D839" s="10"/>
    </row>
    <row r="840" spans="1:4" ht="13" x14ac:dyDescent="0.15">
      <c r="A840" s="10"/>
      <c r="D840" s="10"/>
    </row>
    <row r="841" spans="1:4" ht="13" x14ac:dyDescent="0.15">
      <c r="A841" s="10"/>
      <c r="D841" s="10"/>
    </row>
    <row r="842" spans="1:4" ht="13" x14ac:dyDescent="0.15">
      <c r="A842" s="10"/>
      <c r="D842" s="10"/>
    </row>
    <row r="843" spans="1:4" ht="13" x14ac:dyDescent="0.15">
      <c r="A843" s="10"/>
      <c r="D843" s="10"/>
    </row>
    <row r="844" spans="1:4" ht="13" x14ac:dyDescent="0.15">
      <c r="A844" s="10"/>
      <c r="D844" s="10"/>
    </row>
    <row r="845" spans="1:4" ht="13" x14ac:dyDescent="0.15">
      <c r="A845" s="10"/>
      <c r="D845" s="10"/>
    </row>
    <row r="846" spans="1:4" ht="13" x14ac:dyDescent="0.15">
      <c r="A846" s="10"/>
      <c r="D846" s="10"/>
    </row>
    <row r="847" spans="1:4" ht="13" x14ac:dyDescent="0.15">
      <c r="A847" s="10"/>
      <c r="D847" s="10"/>
    </row>
    <row r="848" spans="1:4" ht="13" x14ac:dyDescent="0.15">
      <c r="A848" s="10"/>
      <c r="D848" s="10"/>
    </row>
    <row r="849" spans="1:4" ht="13" x14ac:dyDescent="0.15">
      <c r="A849" s="10"/>
      <c r="D849" s="10"/>
    </row>
    <row r="850" spans="1:4" ht="13" x14ac:dyDescent="0.15">
      <c r="A850" s="10"/>
      <c r="D850" s="10"/>
    </row>
    <row r="851" spans="1:4" ht="13" x14ac:dyDescent="0.15">
      <c r="A851" s="10"/>
      <c r="D851" s="10"/>
    </row>
    <row r="852" spans="1:4" ht="13" x14ac:dyDescent="0.15">
      <c r="A852" s="10"/>
      <c r="D852" s="10"/>
    </row>
    <row r="853" spans="1:4" ht="13" x14ac:dyDescent="0.15">
      <c r="A853" s="10"/>
      <c r="D853" s="10"/>
    </row>
    <row r="854" spans="1:4" ht="13" x14ac:dyDescent="0.15">
      <c r="A854" s="10"/>
      <c r="D854" s="10"/>
    </row>
    <row r="855" spans="1:4" ht="13" x14ac:dyDescent="0.15">
      <c r="A855" s="10"/>
      <c r="D855" s="10"/>
    </row>
    <row r="856" spans="1:4" ht="13" x14ac:dyDescent="0.15">
      <c r="A856" s="10"/>
      <c r="D856" s="10"/>
    </row>
    <row r="857" spans="1:4" ht="13" x14ac:dyDescent="0.15">
      <c r="A857" s="10"/>
      <c r="D857" s="10"/>
    </row>
    <row r="858" spans="1:4" ht="13" x14ac:dyDescent="0.15">
      <c r="A858" s="10"/>
      <c r="D858" s="10"/>
    </row>
    <row r="859" spans="1:4" ht="13" x14ac:dyDescent="0.15">
      <c r="A859" s="10"/>
      <c r="D859" s="10"/>
    </row>
    <row r="860" spans="1:4" ht="13" x14ac:dyDescent="0.15">
      <c r="A860" s="10"/>
      <c r="D860" s="10"/>
    </row>
    <row r="861" spans="1:4" ht="13" x14ac:dyDescent="0.15">
      <c r="A861" s="10"/>
      <c r="D861" s="10"/>
    </row>
    <row r="862" spans="1:4" ht="13" x14ac:dyDescent="0.15">
      <c r="A862" s="10"/>
      <c r="D862" s="10"/>
    </row>
    <row r="863" spans="1:4" ht="13" x14ac:dyDescent="0.15">
      <c r="A863" s="10"/>
      <c r="D863" s="10"/>
    </row>
    <row r="864" spans="1:4" ht="13" x14ac:dyDescent="0.15">
      <c r="A864" s="10"/>
      <c r="D864" s="10"/>
    </row>
    <row r="865" spans="1:4" ht="13" x14ac:dyDescent="0.15">
      <c r="A865" s="10"/>
      <c r="D865" s="10"/>
    </row>
    <row r="866" spans="1:4" ht="13" x14ac:dyDescent="0.15">
      <c r="A866" s="10"/>
      <c r="D866" s="10"/>
    </row>
    <row r="867" spans="1:4" ht="13" x14ac:dyDescent="0.15">
      <c r="A867" s="10"/>
      <c r="D867" s="10"/>
    </row>
    <row r="868" spans="1:4" ht="13" x14ac:dyDescent="0.15">
      <c r="A868" s="10"/>
      <c r="D868" s="10"/>
    </row>
    <row r="869" spans="1:4" ht="13" x14ac:dyDescent="0.15">
      <c r="A869" s="10"/>
      <c r="D869" s="10"/>
    </row>
    <row r="870" spans="1:4" ht="13" x14ac:dyDescent="0.15">
      <c r="A870" s="10"/>
      <c r="D870" s="10"/>
    </row>
    <row r="871" spans="1:4" ht="13" x14ac:dyDescent="0.15">
      <c r="A871" s="10"/>
      <c r="D871" s="10"/>
    </row>
    <row r="872" spans="1:4" ht="13" x14ac:dyDescent="0.15">
      <c r="A872" s="10"/>
      <c r="D872" s="10"/>
    </row>
    <row r="873" spans="1:4" ht="13" x14ac:dyDescent="0.15">
      <c r="A873" s="10"/>
      <c r="D873" s="10"/>
    </row>
    <row r="874" spans="1:4" ht="13" x14ac:dyDescent="0.15">
      <c r="A874" s="10"/>
      <c r="D874" s="10"/>
    </row>
    <row r="875" spans="1:4" ht="13" x14ac:dyDescent="0.15">
      <c r="A875" s="10"/>
      <c r="D875" s="10"/>
    </row>
    <row r="876" spans="1:4" ht="13" x14ac:dyDescent="0.15">
      <c r="A876" s="10"/>
      <c r="D876" s="10"/>
    </row>
    <row r="877" spans="1:4" ht="13" x14ac:dyDescent="0.15">
      <c r="A877" s="10"/>
      <c r="D877" s="10"/>
    </row>
    <row r="878" spans="1:4" ht="13" x14ac:dyDescent="0.15">
      <c r="A878" s="10"/>
      <c r="D878" s="10"/>
    </row>
    <row r="879" spans="1:4" ht="13" x14ac:dyDescent="0.15">
      <c r="A879" s="10"/>
      <c r="D879" s="10"/>
    </row>
    <row r="880" spans="1:4" ht="13" x14ac:dyDescent="0.15">
      <c r="A880" s="10"/>
      <c r="D880" s="10"/>
    </row>
    <row r="881" spans="1:4" ht="13" x14ac:dyDescent="0.15">
      <c r="A881" s="10"/>
      <c r="D881" s="10"/>
    </row>
    <row r="882" spans="1:4" ht="13" x14ac:dyDescent="0.15">
      <c r="A882" s="10"/>
      <c r="D882" s="10"/>
    </row>
    <row r="883" spans="1:4" ht="13" x14ac:dyDescent="0.15">
      <c r="A883" s="10"/>
      <c r="D883" s="10"/>
    </row>
    <row r="884" spans="1:4" ht="13" x14ac:dyDescent="0.15">
      <c r="A884" s="10"/>
      <c r="D884" s="10"/>
    </row>
    <row r="885" spans="1:4" ht="13" x14ac:dyDescent="0.15">
      <c r="A885" s="10"/>
      <c r="D885" s="10"/>
    </row>
    <row r="886" spans="1:4" ht="13" x14ac:dyDescent="0.15">
      <c r="A886" s="10"/>
      <c r="D886" s="10"/>
    </row>
    <row r="887" spans="1:4" ht="13" x14ac:dyDescent="0.15">
      <c r="A887" s="10"/>
      <c r="D887" s="10"/>
    </row>
    <row r="888" spans="1:4" ht="13" x14ac:dyDescent="0.15">
      <c r="A888" s="10"/>
      <c r="D888" s="10"/>
    </row>
    <row r="889" spans="1:4" ht="13" x14ac:dyDescent="0.15">
      <c r="A889" s="10"/>
      <c r="D889" s="10"/>
    </row>
    <row r="890" spans="1:4" ht="13" x14ac:dyDescent="0.15">
      <c r="A890" s="10"/>
      <c r="D890" s="10"/>
    </row>
    <row r="891" spans="1:4" ht="13" x14ac:dyDescent="0.15">
      <c r="A891" s="10"/>
      <c r="D891" s="10"/>
    </row>
    <row r="892" spans="1:4" ht="13" x14ac:dyDescent="0.15">
      <c r="A892" s="10"/>
      <c r="D892" s="10"/>
    </row>
    <row r="893" spans="1:4" ht="13" x14ac:dyDescent="0.15">
      <c r="A893" s="10"/>
      <c r="D893" s="10"/>
    </row>
    <row r="894" spans="1:4" ht="13" x14ac:dyDescent="0.15">
      <c r="A894" s="10"/>
      <c r="D894" s="10"/>
    </row>
    <row r="895" spans="1:4" ht="13" x14ac:dyDescent="0.15">
      <c r="A895" s="10"/>
      <c r="D895" s="10"/>
    </row>
    <row r="896" spans="1:4" ht="13" x14ac:dyDescent="0.15">
      <c r="A896" s="10"/>
      <c r="D896" s="10"/>
    </row>
    <row r="897" spans="1:4" ht="13" x14ac:dyDescent="0.15">
      <c r="A897" s="10"/>
      <c r="D897" s="10"/>
    </row>
    <row r="898" spans="1:4" ht="13" x14ac:dyDescent="0.15">
      <c r="A898" s="10"/>
      <c r="D898" s="10"/>
    </row>
    <row r="899" spans="1:4" ht="13" x14ac:dyDescent="0.15">
      <c r="A899" s="10"/>
      <c r="D899" s="10"/>
    </row>
    <row r="900" spans="1:4" ht="13" x14ac:dyDescent="0.15">
      <c r="A900" s="10"/>
      <c r="D900" s="10"/>
    </row>
    <row r="901" spans="1:4" ht="13" x14ac:dyDescent="0.15">
      <c r="A901" s="10"/>
      <c r="D901" s="10"/>
    </row>
    <row r="902" spans="1:4" ht="13" x14ac:dyDescent="0.15">
      <c r="A902" s="10"/>
      <c r="D902" s="10"/>
    </row>
    <row r="903" spans="1:4" ht="13" x14ac:dyDescent="0.15">
      <c r="A903" s="10"/>
      <c r="D903" s="10"/>
    </row>
    <row r="904" spans="1:4" ht="13" x14ac:dyDescent="0.15">
      <c r="A904" s="10"/>
      <c r="D904" s="10"/>
    </row>
    <row r="905" spans="1:4" ht="13" x14ac:dyDescent="0.15">
      <c r="A905" s="10"/>
      <c r="D905" s="10"/>
    </row>
    <row r="906" spans="1:4" ht="13" x14ac:dyDescent="0.15">
      <c r="A906" s="10"/>
      <c r="D906" s="10"/>
    </row>
    <row r="907" spans="1:4" ht="13" x14ac:dyDescent="0.15">
      <c r="A907" s="10"/>
      <c r="D907" s="10"/>
    </row>
    <row r="908" spans="1:4" ht="13" x14ac:dyDescent="0.15">
      <c r="A908" s="10"/>
      <c r="D908" s="10"/>
    </row>
    <row r="909" spans="1:4" ht="13" x14ac:dyDescent="0.15">
      <c r="A909" s="10"/>
      <c r="D909" s="10"/>
    </row>
    <row r="910" spans="1:4" ht="13" x14ac:dyDescent="0.15">
      <c r="A910" s="10"/>
      <c r="D910" s="10"/>
    </row>
    <row r="911" spans="1:4" ht="13" x14ac:dyDescent="0.15">
      <c r="A911" s="10"/>
      <c r="D911" s="10"/>
    </row>
    <row r="912" spans="1:4" ht="13" x14ac:dyDescent="0.15">
      <c r="A912" s="10"/>
      <c r="D912" s="10"/>
    </row>
    <row r="913" spans="1:4" ht="13" x14ac:dyDescent="0.15">
      <c r="A913" s="10"/>
      <c r="D913" s="10"/>
    </row>
    <row r="914" spans="1:4" ht="13" x14ac:dyDescent="0.15">
      <c r="A914" s="10"/>
      <c r="D914" s="10"/>
    </row>
    <row r="915" spans="1:4" ht="13" x14ac:dyDescent="0.15">
      <c r="A915" s="10"/>
      <c r="D915" s="10"/>
    </row>
    <row r="916" spans="1:4" ht="13" x14ac:dyDescent="0.15">
      <c r="A916" s="10"/>
      <c r="D916" s="10"/>
    </row>
    <row r="917" spans="1:4" ht="13" x14ac:dyDescent="0.15">
      <c r="A917" s="10"/>
      <c r="D917" s="10"/>
    </row>
    <row r="918" spans="1:4" ht="13" x14ac:dyDescent="0.15">
      <c r="A918" s="10"/>
      <c r="D918" s="10"/>
    </row>
    <row r="919" spans="1:4" ht="13" x14ac:dyDescent="0.15">
      <c r="A919" s="10"/>
      <c r="D919" s="10"/>
    </row>
    <row r="920" spans="1:4" ht="13" x14ac:dyDescent="0.15">
      <c r="A920" s="10"/>
      <c r="D920" s="10"/>
    </row>
    <row r="921" spans="1:4" ht="13" x14ac:dyDescent="0.15">
      <c r="A921" s="10"/>
      <c r="D921" s="10"/>
    </row>
    <row r="922" spans="1:4" ht="13" x14ac:dyDescent="0.15">
      <c r="A922" s="10"/>
      <c r="D922" s="10"/>
    </row>
    <row r="923" spans="1:4" ht="13" x14ac:dyDescent="0.15">
      <c r="A923" s="10"/>
      <c r="D923" s="10"/>
    </row>
    <row r="924" spans="1:4" ht="13" x14ac:dyDescent="0.15">
      <c r="A924" s="10"/>
      <c r="D924" s="10"/>
    </row>
    <row r="925" spans="1:4" ht="13" x14ac:dyDescent="0.15">
      <c r="A925" s="10"/>
      <c r="D925" s="10"/>
    </row>
    <row r="926" spans="1:4" ht="13" x14ac:dyDescent="0.15">
      <c r="A926" s="10"/>
      <c r="D926" s="10"/>
    </row>
    <row r="927" spans="1:4" ht="13" x14ac:dyDescent="0.15">
      <c r="A927" s="10"/>
      <c r="D927" s="10"/>
    </row>
    <row r="928" spans="1:4" ht="13" x14ac:dyDescent="0.15">
      <c r="A928" s="10"/>
      <c r="D928" s="10"/>
    </row>
    <row r="929" spans="1:4" ht="13" x14ac:dyDescent="0.15">
      <c r="A929" s="10"/>
      <c r="D929" s="10"/>
    </row>
    <row r="930" spans="1:4" ht="13" x14ac:dyDescent="0.15">
      <c r="A930" s="10"/>
      <c r="D930" s="10"/>
    </row>
    <row r="931" spans="1:4" ht="13" x14ac:dyDescent="0.15">
      <c r="A931" s="10"/>
      <c r="D931" s="10"/>
    </row>
    <row r="932" spans="1:4" ht="13" x14ac:dyDescent="0.15">
      <c r="A932" s="10"/>
      <c r="D932" s="10"/>
    </row>
    <row r="933" spans="1:4" ht="13" x14ac:dyDescent="0.15">
      <c r="A933" s="10"/>
      <c r="D933" s="10"/>
    </row>
    <row r="934" spans="1:4" ht="13" x14ac:dyDescent="0.15">
      <c r="A934" s="10"/>
      <c r="D934" s="10"/>
    </row>
    <row r="935" spans="1:4" ht="13" x14ac:dyDescent="0.15">
      <c r="A935" s="10"/>
      <c r="D935" s="10"/>
    </row>
    <row r="936" spans="1:4" ht="13" x14ac:dyDescent="0.15">
      <c r="A936" s="10"/>
      <c r="D936" s="10"/>
    </row>
    <row r="937" spans="1:4" ht="13" x14ac:dyDescent="0.15">
      <c r="A937" s="10"/>
      <c r="D937" s="10"/>
    </row>
    <row r="938" spans="1:4" ht="13" x14ac:dyDescent="0.15">
      <c r="A938" s="10"/>
      <c r="D938" s="10"/>
    </row>
    <row r="939" spans="1:4" ht="13" x14ac:dyDescent="0.15">
      <c r="A939" s="10"/>
      <c r="D939" s="10"/>
    </row>
    <row r="940" spans="1:4" ht="13" x14ac:dyDescent="0.15">
      <c r="A940" s="10"/>
      <c r="D940" s="10"/>
    </row>
    <row r="941" spans="1:4" ht="13" x14ac:dyDescent="0.15">
      <c r="A941" s="10"/>
      <c r="D941" s="10"/>
    </row>
    <row r="942" spans="1:4" ht="13" x14ac:dyDescent="0.15">
      <c r="A942" s="10"/>
      <c r="D942" s="10"/>
    </row>
    <row r="943" spans="1:4" ht="13" x14ac:dyDescent="0.15">
      <c r="A943" s="10"/>
      <c r="D943" s="10"/>
    </row>
    <row r="944" spans="1:4" ht="13" x14ac:dyDescent="0.15">
      <c r="A944" s="10"/>
      <c r="D944" s="10"/>
    </row>
    <row r="945" spans="1:4" ht="13" x14ac:dyDescent="0.15">
      <c r="A945" s="10"/>
      <c r="D945" s="10"/>
    </row>
    <row r="946" spans="1:4" ht="13" x14ac:dyDescent="0.15">
      <c r="A946" s="10"/>
      <c r="D946" s="10"/>
    </row>
    <row r="947" spans="1:4" ht="13" x14ac:dyDescent="0.15">
      <c r="A947" s="10"/>
      <c r="D947" s="10"/>
    </row>
    <row r="948" spans="1:4" ht="13" x14ac:dyDescent="0.15">
      <c r="A948" s="10"/>
      <c r="D948" s="10"/>
    </row>
    <row r="949" spans="1:4" ht="13" x14ac:dyDescent="0.15">
      <c r="A949" s="10"/>
      <c r="D949" s="10"/>
    </row>
    <row r="950" spans="1:4" ht="13" x14ac:dyDescent="0.15">
      <c r="A950" s="10"/>
      <c r="D950" s="10"/>
    </row>
    <row r="951" spans="1:4" ht="13" x14ac:dyDescent="0.15">
      <c r="A951" s="10"/>
      <c r="D951" s="10"/>
    </row>
    <row r="952" spans="1:4" ht="13" x14ac:dyDescent="0.15">
      <c r="A952" s="10"/>
      <c r="D952" s="10"/>
    </row>
    <row r="953" spans="1:4" ht="13" x14ac:dyDescent="0.15">
      <c r="A953" s="10"/>
      <c r="D953" s="10"/>
    </row>
    <row r="954" spans="1:4" ht="13" x14ac:dyDescent="0.15">
      <c r="A954" s="10"/>
      <c r="D954" s="10"/>
    </row>
    <row r="955" spans="1:4" ht="13" x14ac:dyDescent="0.15">
      <c r="A955" s="10"/>
      <c r="D955" s="10"/>
    </row>
    <row r="956" spans="1:4" ht="13" x14ac:dyDescent="0.15">
      <c r="A956" s="10"/>
      <c r="D956" s="10"/>
    </row>
    <row r="957" spans="1:4" ht="13" x14ac:dyDescent="0.15">
      <c r="A957" s="10"/>
      <c r="D957" s="10"/>
    </row>
    <row r="958" spans="1:4" ht="13" x14ac:dyDescent="0.15">
      <c r="A958" s="10"/>
      <c r="D958" s="10"/>
    </row>
    <row r="959" spans="1:4" ht="13" x14ac:dyDescent="0.15">
      <c r="A959" s="10"/>
      <c r="D959" s="10"/>
    </row>
    <row r="960" spans="1:4" ht="13" x14ac:dyDescent="0.15">
      <c r="A960" s="10"/>
      <c r="D960" s="10"/>
    </row>
    <row r="961" spans="1:4" ht="13" x14ac:dyDescent="0.15">
      <c r="A961" s="10"/>
      <c r="D961" s="10"/>
    </row>
    <row r="962" spans="1:4" ht="13" x14ac:dyDescent="0.15">
      <c r="A962" s="10"/>
      <c r="D962" s="10"/>
    </row>
    <row r="963" spans="1:4" ht="13" x14ac:dyDescent="0.15">
      <c r="A963" s="10"/>
      <c r="D963" s="10"/>
    </row>
    <row r="964" spans="1:4" ht="13" x14ac:dyDescent="0.15">
      <c r="A964" s="10"/>
      <c r="D964" s="10"/>
    </row>
    <row r="965" spans="1:4" ht="13" x14ac:dyDescent="0.15">
      <c r="A965" s="10"/>
      <c r="D965" s="10"/>
    </row>
    <row r="966" spans="1:4" ht="13" x14ac:dyDescent="0.15">
      <c r="A966" s="10"/>
      <c r="D966" s="10"/>
    </row>
    <row r="967" spans="1:4" ht="13" x14ac:dyDescent="0.15">
      <c r="A967" s="10"/>
      <c r="D967" s="10"/>
    </row>
    <row r="968" spans="1:4" ht="13" x14ac:dyDescent="0.15">
      <c r="A968" s="10"/>
      <c r="D968" s="10"/>
    </row>
    <row r="969" spans="1:4" ht="13" x14ac:dyDescent="0.15">
      <c r="A969" s="10"/>
      <c r="D969" s="10"/>
    </row>
    <row r="970" spans="1:4" ht="13" x14ac:dyDescent="0.15">
      <c r="A970" s="10"/>
      <c r="D970" s="10"/>
    </row>
    <row r="971" spans="1:4" ht="13" x14ac:dyDescent="0.15">
      <c r="A971" s="10"/>
      <c r="D971" s="10"/>
    </row>
    <row r="972" spans="1:4" ht="13" x14ac:dyDescent="0.15">
      <c r="A972" s="10"/>
      <c r="D972" s="10"/>
    </row>
    <row r="973" spans="1:4" ht="13" x14ac:dyDescent="0.15">
      <c r="A973" s="10"/>
      <c r="D973" s="10"/>
    </row>
    <row r="974" spans="1:4" ht="13" x14ac:dyDescent="0.15">
      <c r="A974" s="10"/>
      <c r="D974" s="10"/>
    </row>
    <row r="975" spans="1:4" ht="13" x14ac:dyDescent="0.15">
      <c r="A975" s="10"/>
      <c r="D975" s="10"/>
    </row>
    <row r="976" spans="1:4" ht="13" x14ac:dyDescent="0.15">
      <c r="A976" s="10"/>
      <c r="D976" s="10"/>
    </row>
    <row r="977" spans="1:4" ht="13" x14ac:dyDescent="0.15">
      <c r="A977" s="10"/>
      <c r="D977" s="10"/>
    </row>
    <row r="978" spans="1:4" ht="13" x14ac:dyDescent="0.15">
      <c r="A978" s="10"/>
      <c r="D978" s="10"/>
    </row>
    <row r="979" spans="1:4" ht="13" x14ac:dyDescent="0.15">
      <c r="A979" s="10"/>
      <c r="D979" s="10"/>
    </row>
    <row r="980" spans="1:4" ht="13" x14ac:dyDescent="0.15">
      <c r="A980" s="10"/>
      <c r="D980" s="10"/>
    </row>
    <row r="981" spans="1:4" ht="13" x14ac:dyDescent="0.15">
      <c r="A981" s="10"/>
      <c r="D981" s="10"/>
    </row>
    <row r="982" spans="1:4" ht="13" x14ac:dyDescent="0.15">
      <c r="A982" s="10"/>
      <c r="D982" s="10"/>
    </row>
    <row r="983" spans="1:4" ht="13" x14ac:dyDescent="0.15">
      <c r="A983" s="10"/>
      <c r="D983" s="10"/>
    </row>
    <row r="984" spans="1:4" ht="13" x14ac:dyDescent="0.15">
      <c r="A984" s="10"/>
      <c r="D984" s="10"/>
    </row>
    <row r="985" spans="1:4" ht="13" x14ac:dyDescent="0.15">
      <c r="A985" s="10"/>
      <c r="D985" s="10"/>
    </row>
    <row r="986" spans="1:4" ht="13" x14ac:dyDescent="0.15">
      <c r="A986" s="10"/>
      <c r="D986" s="10"/>
    </row>
    <row r="987" spans="1:4" ht="13" x14ac:dyDescent="0.15">
      <c r="A987" s="10"/>
      <c r="D987" s="10"/>
    </row>
    <row r="988" spans="1:4" ht="13" x14ac:dyDescent="0.15">
      <c r="A988" s="10"/>
      <c r="D988" s="10"/>
    </row>
    <row r="989" spans="1:4" ht="13" x14ac:dyDescent="0.15">
      <c r="A989" s="10"/>
      <c r="D989" s="10"/>
    </row>
    <row r="990" spans="1:4" ht="13" x14ac:dyDescent="0.15">
      <c r="A990" s="10"/>
      <c r="D990" s="10"/>
    </row>
    <row r="991" spans="1:4" ht="13" x14ac:dyDescent="0.15">
      <c r="A991" s="10"/>
      <c r="D991" s="10"/>
    </row>
    <row r="992" spans="1:4" ht="13" x14ac:dyDescent="0.15">
      <c r="A992" s="10"/>
      <c r="D992" s="10"/>
    </row>
    <row r="993" spans="1:4" ht="13" x14ac:dyDescent="0.15">
      <c r="A993" s="10"/>
      <c r="D993" s="10"/>
    </row>
    <row r="994" spans="1:4" ht="13" x14ac:dyDescent="0.15">
      <c r="A994" s="10"/>
      <c r="D994" s="10"/>
    </row>
    <row r="995" spans="1:4" ht="13" x14ac:dyDescent="0.15">
      <c r="A995" s="10"/>
      <c r="D995" s="10"/>
    </row>
    <row r="996" spans="1:4" ht="13" x14ac:dyDescent="0.15">
      <c r="A996" s="10"/>
      <c r="D996" s="10"/>
    </row>
    <row r="997" spans="1:4" ht="13" x14ac:dyDescent="0.15">
      <c r="A997" s="10"/>
      <c r="D997" s="10"/>
    </row>
    <row r="998" spans="1:4" ht="13" x14ac:dyDescent="0.15">
      <c r="A998" s="10"/>
      <c r="D998" s="10"/>
    </row>
    <row r="999" spans="1:4" ht="13" x14ac:dyDescent="0.15">
      <c r="A999" s="10"/>
      <c r="D999" s="10"/>
    </row>
    <row r="1000" spans="1:4" ht="13" x14ac:dyDescent="0.15">
      <c r="A1000" s="10"/>
      <c r="D100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Assessment</vt:lpstr>
      <vt:lpstr>Horizontal Jumps</vt:lpstr>
      <vt:lpstr>VALD</vt:lpstr>
      <vt:lpstr>Mocap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Krishnan, Rohit (Roy)</cp:lastModifiedBy>
  <dcterms:modified xsi:type="dcterms:W3CDTF">2026-03-04T19:19:46Z</dcterms:modified>
</cp:coreProperties>
</file>