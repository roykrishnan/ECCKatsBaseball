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rohitkrishnan/Desktop/Liquid Sports Lab/ECCKatsDash/ECCKatsBaseball/data/"/>
    </mc:Choice>
  </mc:AlternateContent>
  <xr:revisionPtr revIDLastSave="0" documentId="13_ncr:1_{307E3050-C23E-6F42-8ECD-4B1B8DC7D888}" xr6:coauthVersionLast="47" xr6:coauthVersionMax="47" xr10:uidLastSave="{00000000-0000-0000-0000-000000000000}"/>
  <bookViews>
    <workbookView xWindow="33460" yWindow="1200" windowWidth="30240" windowHeight="18880" xr2:uid="{00000000-000D-0000-FFFF-FFFF00000000}"/>
  </bookViews>
  <sheets>
    <sheet name="Table Assessment" sheetId="1" r:id="rId1"/>
    <sheet name="Horizontal Jum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2" l="1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1" i="2"/>
  <c r="Q19" i="1"/>
  <c r="O19" i="1"/>
  <c r="Q18" i="1"/>
  <c r="O18" i="1"/>
  <c r="Q17" i="1"/>
  <c r="O17" i="1"/>
  <c r="Q16" i="1"/>
  <c r="O16" i="1"/>
  <c r="Q15" i="1"/>
  <c r="O15" i="1"/>
  <c r="Q14" i="1"/>
  <c r="O14" i="1"/>
  <c r="Q13" i="1"/>
  <c r="O13" i="1"/>
  <c r="Q12" i="1"/>
  <c r="O12" i="1"/>
  <c r="Q11" i="1"/>
  <c r="O11" i="1"/>
  <c r="Q10" i="1"/>
  <c r="O10" i="1"/>
  <c r="Q9" i="1"/>
  <c r="O9" i="1"/>
  <c r="Q8" i="1"/>
  <c r="O8" i="1"/>
  <c r="Q7" i="1"/>
  <c r="O7" i="1"/>
  <c r="Q6" i="1"/>
  <c r="O6" i="1"/>
  <c r="Q5" i="1"/>
  <c r="O5" i="1"/>
  <c r="Q4" i="1"/>
  <c r="O4" i="1"/>
  <c r="Q3" i="1"/>
  <c r="O3" i="1"/>
  <c r="Q2" i="1"/>
  <c r="O2" i="1"/>
</calcChain>
</file>

<file path=xl/sharedStrings.xml><?xml version="1.0" encoding="utf-8"?>
<sst xmlns="http://schemas.openxmlformats.org/spreadsheetml/2006/main" count="307" uniqueCount="137">
  <si>
    <t xml:space="preserve">Previous Injury </t>
  </si>
  <si>
    <t>Cx Rot L</t>
  </si>
  <si>
    <t>Cx Rot R</t>
  </si>
  <si>
    <t>Lx Flexion</t>
  </si>
  <si>
    <t>Lx Extension</t>
  </si>
  <si>
    <t>Hip IR - R</t>
  </si>
  <si>
    <t xml:space="preserve">Hip IR - L </t>
  </si>
  <si>
    <t>PSLR - R</t>
  </si>
  <si>
    <t>PSLR - L</t>
  </si>
  <si>
    <t>ASLR - R</t>
  </si>
  <si>
    <t>ASLR - L</t>
  </si>
  <si>
    <t xml:space="preserve">Shoulder ER - R </t>
  </si>
  <si>
    <t>Shoulder IR - R</t>
  </si>
  <si>
    <t>Shoulder ER - L</t>
  </si>
  <si>
    <t xml:space="preserve">Shoulder IR - L </t>
  </si>
  <si>
    <t>TSpine Rot - L</t>
  </si>
  <si>
    <t xml:space="preserve">TSpine Rot - R </t>
  </si>
  <si>
    <t>Ankle DF - R</t>
  </si>
  <si>
    <t>Ankle DF - L</t>
  </si>
  <si>
    <t>Pelvic Rotation</t>
  </si>
  <si>
    <t>Pelvic Ant/Post</t>
  </si>
  <si>
    <t>SL Squat  - R</t>
  </si>
  <si>
    <t>SL Squat - L</t>
  </si>
  <si>
    <t>SL Balance  - R</t>
  </si>
  <si>
    <t>SL Balance - L</t>
  </si>
  <si>
    <t>Other</t>
  </si>
  <si>
    <t xml:space="preserve"> 2 month ago R RC strain</t>
  </si>
  <si>
    <t>Good Rotation</t>
  </si>
  <si>
    <t>Shake &amp; Bake</t>
  </si>
  <si>
    <t>Good</t>
  </si>
  <si>
    <t>Knee Valgus - Foot/hip</t>
  </si>
  <si>
    <t xml:space="preserve">history of ankle sprains </t>
  </si>
  <si>
    <t>No Anterior Tilt</t>
  </si>
  <si>
    <t xml:space="preserve">LE Stability </t>
  </si>
  <si>
    <t>bilateral ankle sprain, L hamate fracture, hamstring strains</t>
  </si>
  <si>
    <t xml:space="preserve">Trunk Stability </t>
  </si>
  <si>
    <t xml:space="preserve"> R Labrum Repair 4 years ago</t>
  </si>
  <si>
    <t>L fibula fx, chronic ankle sprains, current R shoulder pain, L hamate fx</t>
  </si>
  <si>
    <t>L Shoulder clicking on ER</t>
  </si>
  <si>
    <t xml:space="preserve">R shoulder impingement </t>
  </si>
  <si>
    <t xml:space="preserve">Unable </t>
  </si>
  <si>
    <t>No Posterior Tilt, No Anterior Tilt</t>
  </si>
  <si>
    <t>Jumpers knee bil</t>
  </si>
  <si>
    <t>L ACL &amp; Meniscus tear, L collar bone Fx, 2 concussions, L ankle sprains, L wrist fx</t>
  </si>
  <si>
    <t xml:space="preserve">Lateral Shift </t>
  </si>
  <si>
    <t>R shoulder bursitis a year ago</t>
  </si>
  <si>
    <t>N/a</t>
  </si>
  <si>
    <t>R bicep pain currently</t>
  </si>
  <si>
    <t>R shoulder pain, R UCL sprain 2 years ago, L hamstring strain</t>
  </si>
  <si>
    <t>Poor Eccentric Control</t>
  </si>
  <si>
    <t>L UCL sprain last year, chronic bicep and tricep strains, 3 Cervical/thoracic vertebrae removed due to tumor on spinal cord - thoracic kyphosis</t>
  </si>
  <si>
    <t>R sided shoulder and elbow pain end of fall</t>
  </si>
  <si>
    <t>No Posterior Tilt</t>
  </si>
  <si>
    <t>Nerve damage R shoulder 4 year</t>
  </si>
  <si>
    <t xml:space="preserve">L wrist pain from catching </t>
  </si>
  <si>
    <t>L arm fx, R Partial Labrum tear, history of R ankle sprain</t>
  </si>
  <si>
    <t>Broad Jump - No Arms</t>
  </si>
  <si>
    <t>Broad Jumps - Arm Swing</t>
  </si>
  <si>
    <t>SL Broad - R</t>
  </si>
  <si>
    <t xml:space="preserve">SL Broad - L </t>
  </si>
  <si>
    <t>Lateral - R</t>
  </si>
  <si>
    <t xml:space="preserve">Lateral - L </t>
  </si>
  <si>
    <t>5'2</t>
  </si>
  <si>
    <t>6'6</t>
  </si>
  <si>
    <t>6'1</t>
  </si>
  <si>
    <t>5'8</t>
  </si>
  <si>
    <t>5'7</t>
  </si>
  <si>
    <t>6'3</t>
  </si>
  <si>
    <t>7'10</t>
  </si>
  <si>
    <t>6'7</t>
  </si>
  <si>
    <t>6'2</t>
  </si>
  <si>
    <t>6'4</t>
  </si>
  <si>
    <t>6'5</t>
  </si>
  <si>
    <t>8'3</t>
  </si>
  <si>
    <t>6'9</t>
  </si>
  <si>
    <t>6'10</t>
  </si>
  <si>
    <t>5'6</t>
  </si>
  <si>
    <t>7'0</t>
  </si>
  <si>
    <t>5'3</t>
  </si>
  <si>
    <t>5'11</t>
  </si>
  <si>
    <t>7'7</t>
  </si>
  <si>
    <t>5'0</t>
  </si>
  <si>
    <t>7'2</t>
  </si>
  <si>
    <t>5'4</t>
  </si>
  <si>
    <t>6'11</t>
  </si>
  <si>
    <t>4'11</t>
  </si>
  <si>
    <t>5'10</t>
  </si>
  <si>
    <t>6'0</t>
  </si>
  <si>
    <t>8'7</t>
  </si>
  <si>
    <t>7'3</t>
  </si>
  <si>
    <t>5'9</t>
  </si>
  <si>
    <t>8'0</t>
  </si>
  <si>
    <t>5'5</t>
  </si>
  <si>
    <t>7'4</t>
  </si>
  <si>
    <t>4'10</t>
  </si>
  <si>
    <t>7'5</t>
  </si>
  <si>
    <t>First Name</t>
  </si>
  <si>
    <t>Last Name</t>
  </si>
  <si>
    <t>Nick</t>
  </si>
  <si>
    <t>Gold</t>
  </si>
  <si>
    <t>Xavier</t>
  </si>
  <si>
    <t>Beckstead</t>
  </si>
  <si>
    <t>John</t>
  </si>
  <si>
    <t>Callahan</t>
  </si>
  <si>
    <t>Joe</t>
  </si>
  <si>
    <t>Downey</t>
  </si>
  <si>
    <t>Liam</t>
  </si>
  <si>
    <t>McMurrary</t>
  </si>
  <si>
    <t>Rafael</t>
  </si>
  <si>
    <t>Smith</t>
  </si>
  <si>
    <t>Jaxzyn</t>
  </si>
  <si>
    <t>Moritz</t>
  </si>
  <si>
    <t>Justin</t>
  </si>
  <si>
    <t>Refermat</t>
  </si>
  <si>
    <t>Jaden</t>
  </si>
  <si>
    <t>Korpan</t>
  </si>
  <si>
    <t>Kayden</t>
  </si>
  <si>
    <t>Duncan</t>
  </si>
  <si>
    <t>Kaleb</t>
  </si>
  <si>
    <t>Locatelli</t>
  </si>
  <si>
    <t>Tony</t>
  </si>
  <si>
    <t>Weber</t>
  </si>
  <si>
    <t>Kieran</t>
  </si>
  <si>
    <t>Glassford</t>
  </si>
  <si>
    <t>Zack</t>
  </si>
  <si>
    <t>Bedard</t>
  </si>
  <si>
    <t>Gianluca</t>
  </si>
  <si>
    <t>Filice</t>
  </si>
  <si>
    <t>Cole</t>
  </si>
  <si>
    <t>Penner</t>
  </si>
  <si>
    <t>Reece</t>
  </si>
  <si>
    <t>Boyle</t>
  </si>
  <si>
    <t>Caleb</t>
  </si>
  <si>
    <t>Korhonen</t>
  </si>
  <si>
    <t xml:space="preserve">R humerus fx August 24 required surgery with plates </t>
  </si>
  <si>
    <t>Water intake (oz/day)</t>
  </si>
  <si>
    <t>Sleep (avg # of 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</si>
</sst>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0" borderId="0" xfId="0" applyFont="1"/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979"/>
  <sheetViews>
    <sheetView tabSelected="1" workbookViewId="0">
      <pane ySplit="1" topLeftCell="A2" activePane="bottomLeft" state="frozen"/>
      <selection pane="bottomLeft" activeCell="C13" sqref="C13"/>
    </sheetView>
  </sheetViews>
  <sheetFormatPr baseColWidth="10" defaultColWidth="12.6640625" defaultRowHeight="15.75" customHeight="1" x14ac:dyDescent="0.15"/>
  <cols>
    <col min="1" max="2" width="18.6640625" customWidth="1"/>
    <col min="3" max="3" width="28.6640625" style="9" customWidth="1"/>
    <col min="4" max="4" width="26.83203125" style="8" customWidth="1"/>
    <col min="5" max="5" width="7.5" customWidth="1"/>
    <col min="6" max="6" width="7.6640625" customWidth="1"/>
    <col min="7" max="7" width="8.6640625" customWidth="1"/>
    <col min="8" max="8" width="10.5" customWidth="1"/>
    <col min="9" max="9" width="8.1640625" customWidth="1"/>
    <col min="10" max="10" width="8.33203125" customWidth="1"/>
    <col min="11" max="11" width="8" customWidth="1"/>
    <col min="12" max="12" width="7.6640625" customWidth="1"/>
    <col min="13" max="13" width="8" customWidth="1"/>
    <col min="14" max="14" width="7.6640625" customWidth="1"/>
    <col min="15" max="15" width="13.6640625" customWidth="1"/>
    <col min="23" max="23" width="42.1640625" customWidth="1"/>
  </cols>
  <sheetData>
    <row r="1" spans="1:31" s="13" customFormat="1" ht="15.75" customHeight="1" x14ac:dyDescent="0.15">
      <c r="A1" s="10" t="s">
        <v>96</v>
      </c>
      <c r="B1" s="10" t="s">
        <v>97</v>
      </c>
      <c r="C1" s="11" t="s">
        <v>136</v>
      </c>
      <c r="D1" s="10" t="s">
        <v>135</v>
      </c>
      <c r="E1" s="10" t="s">
        <v>1</v>
      </c>
      <c r="F1" s="10" t="s">
        <v>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10</v>
      </c>
      <c r="O1" s="10" t="s">
        <v>11</v>
      </c>
      <c r="P1" s="10" t="s">
        <v>12</v>
      </c>
      <c r="Q1" s="10" t="s">
        <v>13</v>
      </c>
      <c r="R1" s="10" t="s">
        <v>14</v>
      </c>
      <c r="S1" s="10" t="s">
        <v>15</v>
      </c>
      <c r="T1" s="10" t="s">
        <v>16</v>
      </c>
      <c r="U1" s="12" t="s">
        <v>17</v>
      </c>
      <c r="V1" s="12" t="s">
        <v>18</v>
      </c>
      <c r="W1" s="10" t="s">
        <v>0</v>
      </c>
      <c r="X1" s="10" t="s">
        <v>19</v>
      </c>
      <c r="Y1" s="10" t="s">
        <v>20</v>
      </c>
      <c r="Z1" s="10" t="s">
        <v>21</v>
      </c>
      <c r="AA1" s="10" t="s">
        <v>22</v>
      </c>
      <c r="AB1" s="10" t="s">
        <v>23</v>
      </c>
      <c r="AC1" s="10" t="s">
        <v>24</v>
      </c>
      <c r="AD1" s="10" t="s">
        <v>25</v>
      </c>
      <c r="AE1" s="10"/>
    </row>
    <row r="2" spans="1:31" ht="15.75" customHeight="1" x14ac:dyDescent="0.15">
      <c r="A2" s="2" t="s">
        <v>98</v>
      </c>
      <c r="B2" s="2" t="s">
        <v>99</v>
      </c>
      <c r="C2" s="6">
        <v>7</v>
      </c>
      <c r="D2" s="7">
        <v>28</v>
      </c>
      <c r="E2" s="2">
        <v>63</v>
      </c>
      <c r="F2" s="2">
        <v>65</v>
      </c>
      <c r="G2" s="2">
        <v>83</v>
      </c>
      <c r="H2" s="2">
        <v>43</v>
      </c>
      <c r="I2" s="2">
        <v>44</v>
      </c>
      <c r="J2" s="2">
        <v>45</v>
      </c>
      <c r="K2" s="2">
        <v>75</v>
      </c>
      <c r="L2" s="2">
        <v>71</v>
      </c>
      <c r="M2" s="2">
        <v>70</v>
      </c>
      <c r="N2" s="2">
        <v>66</v>
      </c>
      <c r="O2" s="2">
        <f>65 +90</f>
        <v>155</v>
      </c>
      <c r="P2" s="2">
        <v>68</v>
      </c>
      <c r="Q2" s="2">
        <f>53+90</f>
        <v>143</v>
      </c>
      <c r="R2" s="2">
        <v>72</v>
      </c>
      <c r="S2" s="2">
        <v>65</v>
      </c>
      <c r="T2" s="2">
        <v>67</v>
      </c>
      <c r="U2" s="3">
        <v>45</v>
      </c>
      <c r="V2" s="3">
        <v>46</v>
      </c>
      <c r="W2" s="1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29</v>
      </c>
      <c r="AC2" s="2" t="s">
        <v>29</v>
      </c>
    </row>
    <row r="3" spans="1:31" ht="15.75" customHeight="1" x14ac:dyDescent="0.15">
      <c r="A3" s="2" t="s">
        <v>100</v>
      </c>
      <c r="B3" s="2" t="s">
        <v>101</v>
      </c>
      <c r="C3" s="6">
        <v>8</v>
      </c>
      <c r="D3" s="7">
        <v>48</v>
      </c>
      <c r="E3" s="2">
        <v>60</v>
      </c>
      <c r="F3" s="2">
        <v>62</v>
      </c>
      <c r="G3" s="2">
        <v>84</v>
      </c>
      <c r="H3" s="2">
        <v>47</v>
      </c>
      <c r="I3" s="2">
        <v>38</v>
      </c>
      <c r="J3" s="2">
        <v>35</v>
      </c>
      <c r="K3" s="2">
        <v>49</v>
      </c>
      <c r="L3" s="2">
        <v>54</v>
      </c>
      <c r="M3" s="2">
        <v>45</v>
      </c>
      <c r="N3" s="2">
        <v>54</v>
      </c>
      <c r="O3" s="2">
        <f>55 +90</f>
        <v>145</v>
      </c>
      <c r="P3" s="2">
        <v>40</v>
      </c>
      <c r="Q3" s="2">
        <f>46+90</f>
        <v>136</v>
      </c>
      <c r="R3" s="2">
        <v>44</v>
      </c>
      <c r="S3" s="2">
        <v>60</v>
      </c>
      <c r="T3" s="2">
        <v>47</v>
      </c>
      <c r="U3" s="3">
        <v>33</v>
      </c>
      <c r="V3" s="3">
        <v>39</v>
      </c>
      <c r="W3" s="1" t="s">
        <v>31</v>
      </c>
      <c r="X3" s="2" t="s">
        <v>27</v>
      </c>
      <c r="Y3" s="2" t="s">
        <v>32</v>
      </c>
      <c r="Z3" s="2" t="s">
        <v>30</v>
      </c>
      <c r="AA3" s="2" t="s">
        <v>29</v>
      </c>
      <c r="AB3" s="2" t="s">
        <v>33</v>
      </c>
      <c r="AC3" s="2" t="s">
        <v>33</v>
      </c>
    </row>
    <row r="4" spans="1:31" ht="15.75" customHeight="1" x14ac:dyDescent="0.15">
      <c r="A4" s="2" t="s">
        <v>102</v>
      </c>
      <c r="B4" s="2" t="s">
        <v>103</v>
      </c>
      <c r="C4" s="6">
        <v>7.5</v>
      </c>
      <c r="D4" s="7">
        <v>128</v>
      </c>
      <c r="E4" s="2">
        <v>65</v>
      </c>
      <c r="F4" s="2">
        <v>55</v>
      </c>
      <c r="G4" s="2">
        <v>89</v>
      </c>
      <c r="H4" s="2">
        <v>58</v>
      </c>
      <c r="I4" s="2">
        <v>40</v>
      </c>
      <c r="J4" s="2">
        <v>52</v>
      </c>
      <c r="K4" s="2">
        <v>86</v>
      </c>
      <c r="L4" s="2">
        <v>87</v>
      </c>
      <c r="M4" s="2">
        <v>73</v>
      </c>
      <c r="N4" s="2">
        <v>74</v>
      </c>
      <c r="O4" s="2">
        <f>71+90</f>
        <v>161</v>
      </c>
      <c r="P4" s="2">
        <v>60</v>
      </c>
      <c r="Q4" s="2">
        <f>41+90</f>
        <v>131</v>
      </c>
      <c r="R4" s="2">
        <v>86</v>
      </c>
      <c r="S4" s="2">
        <v>75</v>
      </c>
      <c r="T4" s="2">
        <v>74</v>
      </c>
      <c r="U4" s="3">
        <v>33</v>
      </c>
      <c r="V4" s="3">
        <v>34</v>
      </c>
      <c r="W4" s="1" t="s">
        <v>34</v>
      </c>
      <c r="X4" s="2" t="s">
        <v>27</v>
      </c>
      <c r="Y4" s="2" t="s">
        <v>32</v>
      </c>
      <c r="Z4" s="2" t="s">
        <v>29</v>
      </c>
      <c r="AA4" s="2" t="s">
        <v>30</v>
      </c>
      <c r="AB4" s="2" t="s">
        <v>35</v>
      </c>
      <c r="AC4" s="2" t="s">
        <v>35</v>
      </c>
    </row>
    <row r="5" spans="1:31" ht="15.75" customHeight="1" x14ac:dyDescent="0.15">
      <c r="A5" s="2" t="s">
        <v>104</v>
      </c>
      <c r="B5" s="2" t="s">
        <v>105</v>
      </c>
      <c r="C5" s="6">
        <v>7</v>
      </c>
      <c r="D5" s="7">
        <v>128</v>
      </c>
      <c r="E5" s="2">
        <v>61</v>
      </c>
      <c r="F5" s="2">
        <v>58</v>
      </c>
      <c r="G5" s="2">
        <v>75</v>
      </c>
      <c r="H5" s="2">
        <v>32</v>
      </c>
      <c r="I5" s="2">
        <v>31</v>
      </c>
      <c r="J5" s="2">
        <v>40</v>
      </c>
      <c r="K5" s="2">
        <v>54</v>
      </c>
      <c r="L5" s="2">
        <v>60</v>
      </c>
      <c r="M5" s="2">
        <v>54</v>
      </c>
      <c r="N5" s="2">
        <v>59</v>
      </c>
      <c r="O5" s="2">
        <f>56+90</f>
        <v>146</v>
      </c>
      <c r="P5" s="2">
        <v>80</v>
      </c>
      <c r="Q5" s="2">
        <f>29+90</f>
        <v>119</v>
      </c>
      <c r="R5" s="2">
        <v>100</v>
      </c>
      <c r="S5" s="2">
        <v>49</v>
      </c>
      <c r="T5" s="2">
        <v>46</v>
      </c>
      <c r="U5" s="3">
        <v>47</v>
      </c>
      <c r="V5" s="3">
        <v>43</v>
      </c>
      <c r="W5" s="1" t="s">
        <v>36</v>
      </c>
      <c r="X5" s="2" t="s">
        <v>27</v>
      </c>
      <c r="Y5" s="2" t="s">
        <v>29</v>
      </c>
      <c r="Z5" s="2" t="s">
        <v>30</v>
      </c>
      <c r="AA5" s="2" t="s">
        <v>29</v>
      </c>
      <c r="AB5" s="2" t="s">
        <v>29</v>
      </c>
      <c r="AC5" s="2" t="s">
        <v>29</v>
      </c>
    </row>
    <row r="6" spans="1:31" ht="15.75" customHeight="1" x14ac:dyDescent="0.15">
      <c r="A6" s="2" t="s">
        <v>106</v>
      </c>
      <c r="B6" s="2" t="s">
        <v>107</v>
      </c>
      <c r="C6" s="6">
        <v>6</v>
      </c>
      <c r="D6" s="7">
        <v>100</v>
      </c>
      <c r="E6" s="2">
        <v>70</v>
      </c>
      <c r="F6" s="2">
        <v>80</v>
      </c>
      <c r="G6" s="2">
        <v>88</v>
      </c>
      <c r="H6" s="2">
        <v>48</v>
      </c>
      <c r="I6" s="2">
        <v>47</v>
      </c>
      <c r="J6" s="2">
        <v>52</v>
      </c>
      <c r="K6" s="2">
        <v>86</v>
      </c>
      <c r="L6" s="2">
        <v>90</v>
      </c>
      <c r="M6" s="2">
        <v>71</v>
      </c>
      <c r="N6" s="2">
        <v>76</v>
      </c>
      <c r="O6" s="2">
        <f>80+90</f>
        <v>170</v>
      </c>
      <c r="P6" s="4">
        <v>74</v>
      </c>
      <c r="Q6" s="2">
        <f>55 +90</f>
        <v>145</v>
      </c>
      <c r="R6" s="2">
        <v>90</v>
      </c>
      <c r="S6" s="2">
        <v>84</v>
      </c>
      <c r="T6" s="2">
        <v>80</v>
      </c>
      <c r="U6" s="3">
        <v>35</v>
      </c>
      <c r="V6" s="3">
        <v>34</v>
      </c>
      <c r="W6" s="1" t="s">
        <v>37</v>
      </c>
      <c r="X6" s="2" t="s">
        <v>27</v>
      </c>
      <c r="Y6" s="2" t="s">
        <v>28</v>
      </c>
      <c r="Z6" s="2" t="s">
        <v>30</v>
      </c>
      <c r="AA6" s="2" t="s">
        <v>30</v>
      </c>
      <c r="AB6" s="2" t="s">
        <v>29</v>
      </c>
      <c r="AC6" s="2" t="s">
        <v>33</v>
      </c>
      <c r="AD6" s="5" t="s">
        <v>38</v>
      </c>
    </row>
    <row r="7" spans="1:31" ht="15.75" customHeight="1" x14ac:dyDescent="0.15">
      <c r="A7" s="2" t="s">
        <v>108</v>
      </c>
      <c r="B7" s="2" t="s">
        <v>109</v>
      </c>
      <c r="C7" s="6">
        <v>9</v>
      </c>
      <c r="D7" s="7">
        <v>32</v>
      </c>
      <c r="E7" s="2">
        <v>58</v>
      </c>
      <c r="F7" s="2">
        <v>62</v>
      </c>
      <c r="G7" s="2">
        <v>72</v>
      </c>
      <c r="H7" s="2">
        <v>59</v>
      </c>
      <c r="I7" s="2">
        <v>38</v>
      </c>
      <c r="J7" s="2">
        <v>44</v>
      </c>
      <c r="K7" s="2">
        <v>54</v>
      </c>
      <c r="L7" s="2">
        <v>64</v>
      </c>
      <c r="M7" s="2">
        <v>50</v>
      </c>
      <c r="N7" s="2">
        <v>50</v>
      </c>
      <c r="O7" s="2">
        <f>44+90</f>
        <v>134</v>
      </c>
      <c r="P7" s="2">
        <v>80</v>
      </c>
      <c r="Q7" s="2">
        <f>34+90</f>
        <v>124</v>
      </c>
      <c r="R7" s="2">
        <v>94</v>
      </c>
      <c r="S7" s="2">
        <v>51</v>
      </c>
      <c r="T7" s="2">
        <v>51</v>
      </c>
      <c r="U7" s="3">
        <v>45</v>
      </c>
      <c r="V7" s="3">
        <v>40</v>
      </c>
      <c r="W7" s="1" t="s">
        <v>39</v>
      </c>
      <c r="X7" s="2" t="s">
        <v>40</v>
      </c>
      <c r="Y7" s="2" t="s">
        <v>41</v>
      </c>
      <c r="Z7" s="2" t="s">
        <v>30</v>
      </c>
      <c r="AA7" s="2" t="s">
        <v>30</v>
      </c>
      <c r="AB7" s="2" t="s">
        <v>35</v>
      </c>
      <c r="AC7" s="2" t="s">
        <v>35</v>
      </c>
    </row>
    <row r="8" spans="1:31" ht="15.75" customHeight="1" x14ac:dyDescent="0.15">
      <c r="A8" s="2" t="s">
        <v>110</v>
      </c>
      <c r="B8" s="2" t="s">
        <v>111</v>
      </c>
      <c r="C8" s="6">
        <v>7</v>
      </c>
      <c r="D8" s="7">
        <v>32</v>
      </c>
      <c r="E8" s="2">
        <v>65</v>
      </c>
      <c r="F8" s="2">
        <v>68</v>
      </c>
      <c r="G8" s="2">
        <v>73</v>
      </c>
      <c r="H8" s="2">
        <v>52</v>
      </c>
      <c r="I8" s="2">
        <v>48</v>
      </c>
      <c r="J8" s="2">
        <v>40</v>
      </c>
      <c r="K8" s="2">
        <v>62</v>
      </c>
      <c r="L8" s="2">
        <v>68</v>
      </c>
      <c r="M8" s="2">
        <v>62</v>
      </c>
      <c r="N8" s="2">
        <v>66</v>
      </c>
      <c r="O8" s="2">
        <f>61+90</f>
        <v>151</v>
      </c>
      <c r="P8" s="2">
        <v>78</v>
      </c>
      <c r="Q8" s="2">
        <f>51+90</f>
        <v>141</v>
      </c>
      <c r="R8" s="2">
        <v>83</v>
      </c>
      <c r="S8" s="2">
        <v>49</v>
      </c>
      <c r="T8" s="2">
        <v>53</v>
      </c>
      <c r="U8" s="3">
        <v>38</v>
      </c>
      <c r="V8" s="3">
        <v>39</v>
      </c>
      <c r="W8" s="1" t="s">
        <v>42</v>
      </c>
      <c r="X8" s="2" t="s">
        <v>27</v>
      </c>
      <c r="Y8" s="2" t="s">
        <v>28</v>
      </c>
      <c r="Z8" s="2" t="s">
        <v>30</v>
      </c>
      <c r="AA8" s="2" t="s">
        <v>29</v>
      </c>
      <c r="AB8" s="2" t="s">
        <v>33</v>
      </c>
      <c r="AC8" s="2" t="s">
        <v>33</v>
      </c>
    </row>
    <row r="9" spans="1:31" ht="15.75" customHeight="1" x14ac:dyDescent="0.15">
      <c r="A9" s="2" t="s">
        <v>112</v>
      </c>
      <c r="B9" s="2" t="s">
        <v>113</v>
      </c>
      <c r="C9" s="6">
        <v>7</v>
      </c>
      <c r="D9" s="7">
        <v>96</v>
      </c>
      <c r="E9" s="2">
        <v>60</v>
      </c>
      <c r="F9" s="2">
        <v>62</v>
      </c>
      <c r="G9" s="2">
        <v>76</v>
      </c>
      <c r="H9" s="2">
        <v>48</v>
      </c>
      <c r="I9" s="2">
        <v>41</v>
      </c>
      <c r="J9" s="2">
        <v>38</v>
      </c>
      <c r="K9" s="2">
        <v>73</v>
      </c>
      <c r="L9" s="2">
        <v>71</v>
      </c>
      <c r="M9" s="2">
        <v>70</v>
      </c>
      <c r="N9" s="2">
        <v>70</v>
      </c>
      <c r="O9" s="2">
        <f>60+90</f>
        <v>150</v>
      </c>
      <c r="P9" s="2">
        <v>83</v>
      </c>
      <c r="Q9" s="2">
        <f>39+90</f>
        <v>129</v>
      </c>
      <c r="R9" s="2">
        <v>95</v>
      </c>
      <c r="S9" s="2">
        <v>45</v>
      </c>
      <c r="T9" s="2">
        <v>65</v>
      </c>
      <c r="U9" s="3">
        <v>44</v>
      </c>
      <c r="V9" s="3">
        <v>26</v>
      </c>
      <c r="W9" s="1" t="s">
        <v>43</v>
      </c>
      <c r="X9" s="2" t="s">
        <v>44</v>
      </c>
      <c r="Y9" s="2" t="s">
        <v>28</v>
      </c>
      <c r="Z9" s="2" t="s">
        <v>29</v>
      </c>
      <c r="AA9" s="2" t="s">
        <v>30</v>
      </c>
      <c r="AB9" s="2" t="s">
        <v>35</v>
      </c>
      <c r="AC9" s="2" t="s">
        <v>33</v>
      </c>
    </row>
    <row r="10" spans="1:31" ht="15.75" customHeight="1" x14ac:dyDescent="0.15">
      <c r="A10" s="2" t="s">
        <v>114</v>
      </c>
      <c r="B10" s="2" t="s">
        <v>115</v>
      </c>
      <c r="C10" s="6">
        <v>7</v>
      </c>
      <c r="D10" s="7">
        <v>80</v>
      </c>
      <c r="E10" s="2">
        <v>56</v>
      </c>
      <c r="F10" s="2">
        <v>55</v>
      </c>
      <c r="G10" s="2">
        <v>88</v>
      </c>
      <c r="H10" s="2">
        <v>63</v>
      </c>
      <c r="I10" s="2">
        <v>46</v>
      </c>
      <c r="J10" s="2">
        <v>49</v>
      </c>
      <c r="K10" s="2">
        <v>83</v>
      </c>
      <c r="L10" s="2">
        <v>86</v>
      </c>
      <c r="M10" s="2">
        <v>71</v>
      </c>
      <c r="N10" s="2">
        <v>74</v>
      </c>
      <c r="O10" s="2">
        <f>76+90</f>
        <v>166</v>
      </c>
      <c r="P10" s="2">
        <v>83</v>
      </c>
      <c r="Q10" s="2">
        <f>48+90</f>
        <v>138</v>
      </c>
      <c r="R10" s="2">
        <v>110</v>
      </c>
      <c r="S10" s="2">
        <v>60</v>
      </c>
      <c r="T10" s="2">
        <v>65</v>
      </c>
      <c r="U10" s="3">
        <v>40</v>
      </c>
      <c r="V10" s="3">
        <v>43</v>
      </c>
      <c r="W10" s="1" t="s">
        <v>45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35</v>
      </c>
      <c r="AC10" s="2" t="s">
        <v>29</v>
      </c>
    </row>
    <row r="11" spans="1:31" ht="15.75" customHeight="1" x14ac:dyDescent="0.15">
      <c r="A11" s="2" t="s">
        <v>116</v>
      </c>
      <c r="B11" s="2" t="s">
        <v>117</v>
      </c>
      <c r="C11" s="6">
        <v>7</v>
      </c>
      <c r="D11" s="7">
        <v>120</v>
      </c>
      <c r="E11" s="2">
        <v>63</v>
      </c>
      <c r="F11" s="2">
        <v>65</v>
      </c>
      <c r="G11" s="2">
        <v>95</v>
      </c>
      <c r="H11" s="2">
        <v>51</v>
      </c>
      <c r="I11" s="2">
        <v>39</v>
      </c>
      <c r="J11" s="2">
        <v>49</v>
      </c>
      <c r="K11" s="2">
        <v>87</v>
      </c>
      <c r="L11" s="2">
        <v>94</v>
      </c>
      <c r="M11" s="2">
        <v>83</v>
      </c>
      <c r="N11" s="2">
        <v>90</v>
      </c>
      <c r="O11" s="2">
        <f>90+90</f>
        <v>180</v>
      </c>
      <c r="P11" s="2">
        <v>120</v>
      </c>
      <c r="Q11" s="2">
        <f>85+90</f>
        <v>175</v>
      </c>
      <c r="R11" s="2">
        <v>110</v>
      </c>
      <c r="S11" s="2">
        <v>75</v>
      </c>
      <c r="T11" s="2">
        <v>80</v>
      </c>
      <c r="U11" s="3">
        <v>50</v>
      </c>
      <c r="V11" s="3">
        <v>47</v>
      </c>
      <c r="W11" s="1" t="s">
        <v>46</v>
      </c>
      <c r="X11" s="2" t="s">
        <v>27</v>
      </c>
      <c r="Y11" s="2" t="s">
        <v>29</v>
      </c>
      <c r="Z11" s="2" t="s">
        <v>29</v>
      </c>
      <c r="AA11" s="2" t="s">
        <v>29</v>
      </c>
      <c r="AB11" s="2" t="s">
        <v>33</v>
      </c>
      <c r="AC11" s="2" t="s">
        <v>33</v>
      </c>
    </row>
    <row r="12" spans="1:31" ht="15.75" customHeight="1" x14ac:dyDescent="0.15">
      <c r="A12" s="2" t="s">
        <v>118</v>
      </c>
      <c r="B12" s="2" t="s">
        <v>119</v>
      </c>
      <c r="C12" s="6">
        <v>7</v>
      </c>
      <c r="D12" s="7">
        <v>64</v>
      </c>
      <c r="E12" s="2">
        <v>68</v>
      </c>
      <c r="F12" s="2">
        <v>65</v>
      </c>
      <c r="G12" s="2">
        <v>73</v>
      </c>
      <c r="H12" s="2">
        <v>51</v>
      </c>
      <c r="I12" s="2">
        <v>46</v>
      </c>
      <c r="J12" s="2">
        <v>65</v>
      </c>
      <c r="K12" s="2">
        <v>60</v>
      </c>
      <c r="L12" s="2">
        <v>68</v>
      </c>
      <c r="M12" s="2">
        <v>56</v>
      </c>
      <c r="N12" s="2">
        <v>60</v>
      </c>
      <c r="O12" s="2">
        <f>67+90</f>
        <v>157</v>
      </c>
      <c r="P12" s="2">
        <v>79</v>
      </c>
      <c r="Q12" s="2">
        <f>35+90</f>
        <v>125</v>
      </c>
      <c r="R12" s="2">
        <v>96</v>
      </c>
      <c r="S12" s="2">
        <v>58</v>
      </c>
      <c r="T12" s="2">
        <v>76</v>
      </c>
      <c r="U12" s="3">
        <v>46</v>
      </c>
      <c r="V12" s="3">
        <v>44</v>
      </c>
      <c r="W12" s="1" t="s">
        <v>47</v>
      </c>
      <c r="X12" s="2" t="s">
        <v>44</v>
      </c>
      <c r="Y12" s="2" t="s">
        <v>28</v>
      </c>
      <c r="Z12" s="2" t="s">
        <v>29</v>
      </c>
      <c r="AA12" s="2" t="s">
        <v>29</v>
      </c>
      <c r="AB12" s="2" t="s">
        <v>29</v>
      </c>
      <c r="AC12" s="2" t="s">
        <v>33</v>
      </c>
    </row>
    <row r="13" spans="1:31" ht="15.75" customHeight="1" x14ac:dyDescent="0.15">
      <c r="A13" s="2" t="s">
        <v>120</v>
      </c>
      <c r="B13" s="2" t="s">
        <v>121</v>
      </c>
      <c r="C13" s="6">
        <v>9.5</v>
      </c>
      <c r="D13" s="7">
        <v>48</v>
      </c>
      <c r="E13" s="2">
        <v>73</v>
      </c>
      <c r="F13" s="2">
        <v>88</v>
      </c>
      <c r="G13" s="2">
        <v>75</v>
      </c>
      <c r="H13" s="2">
        <v>45</v>
      </c>
      <c r="I13" s="2">
        <v>46</v>
      </c>
      <c r="J13" s="2">
        <v>36</v>
      </c>
      <c r="K13" s="2">
        <v>64</v>
      </c>
      <c r="L13" s="2">
        <v>69</v>
      </c>
      <c r="M13" s="2">
        <v>53</v>
      </c>
      <c r="N13" s="2">
        <v>57</v>
      </c>
      <c r="O13" s="2">
        <f>58+90</f>
        <v>148</v>
      </c>
      <c r="P13" s="2">
        <v>110</v>
      </c>
      <c r="Q13" s="2">
        <f>40+90</f>
        <v>130</v>
      </c>
      <c r="R13" s="2">
        <v>115</v>
      </c>
      <c r="S13" s="2">
        <v>66</v>
      </c>
      <c r="T13" s="2">
        <v>73</v>
      </c>
      <c r="U13" s="3">
        <v>42</v>
      </c>
      <c r="V13" s="3">
        <v>34</v>
      </c>
      <c r="W13" s="1" t="s">
        <v>48</v>
      </c>
      <c r="X13" s="2" t="s">
        <v>40</v>
      </c>
      <c r="Y13" s="2" t="s">
        <v>28</v>
      </c>
      <c r="Z13" s="2" t="s">
        <v>49</v>
      </c>
      <c r="AA13" s="2" t="s">
        <v>49</v>
      </c>
      <c r="AB13" s="2" t="s">
        <v>33</v>
      </c>
      <c r="AC13" s="2" t="s">
        <v>33</v>
      </c>
    </row>
    <row r="14" spans="1:31" ht="15.75" customHeight="1" x14ac:dyDescent="0.15">
      <c r="A14" s="2" t="s">
        <v>122</v>
      </c>
      <c r="B14" s="2" t="s">
        <v>123</v>
      </c>
      <c r="C14" s="6">
        <v>8</v>
      </c>
      <c r="D14" s="7">
        <v>169</v>
      </c>
      <c r="E14" s="2">
        <v>65</v>
      </c>
      <c r="F14" s="2">
        <v>51</v>
      </c>
      <c r="G14" s="2">
        <v>83</v>
      </c>
      <c r="H14" s="2">
        <v>44</v>
      </c>
      <c r="I14" s="2">
        <v>43</v>
      </c>
      <c r="J14" s="2">
        <v>47</v>
      </c>
      <c r="K14" s="2">
        <v>64</v>
      </c>
      <c r="L14" s="2">
        <v>64</v>
      </c>
      <c r="M14" s="2">
        <v>54</v>
      </c>
      <c r="N14" s="2">
        <v>48</v>
      </c>
      <c r="O14" s="2">
        <f>25+90</f>
        <v>115</v>
      </c>
      <c r="P14" s="2">
        <v>85</v>
      </c>
      <c r="Q14" s="2">
        <f>48+90</f>
        <v>138</v>
      </c>
      <c r="R14" s="2">
        <v>110</v>
      </c>
      <c r="S14" s="2">
        <v>64</v>
      </c>
      <c r="T14" s="2">
        <v>74</v>
      </c>
      <c r="U14" s="3">
        <v>43</v>
      </c>
      <c r="V14" s="3">
        <v>46</v>
      </c>
      <c r="W14" s="1" t="s">
        <v>50</v>
      </c>
      <c r="X14" s="2" t="s">
        <v>44</v>
      </c>
      <c r="Y14" s="2" t="s">
        <v>28</v>
      </c>
      <c r="Z14" s="2" t="s">
        <v>29</v>
      </c>
      <c r="AA14" s="2" t="s">
        <v>30</v>
      </c>
      <c r="AB14" s="2" t="s">
        <v>29</v>
      </c>
      <c r="AC14" s="2" t="s">
        <v>29</v>
      </c>
    </row>
    <row r="15" spans="1:31" ht="15.75" customHeight="1" x14ac:dyDescent="0.15">
      <c r="A15" s="2" t="s">
        <v>124</v>
      </c>
      <c r="B15" s="2" t="s">
        <v>125</v>
      </c>
      <c r="C15" s="6">
        <v>8</v>
      </c>
      <c r="D15" s="7">
        <v>90</v>
      </c>
      <c r="E15" s="2">
        <v>64</v>
      </c>
      <c r="F15" s="2">
        <v>60</v>
      </c>
      <c r="G15" s="2">
        <v>83</v>
      </c>
      <c r="H15" s="2">
        <v>54</v>
      </c>
      <c r="I15" s="2">
        <v>50</v>
      </c>
      <c r="J15" s="2">
        <v>56</v>
      </c>
      <c r="K15" s="2">
        <v>70</v>
      </c>
      <c r="L15" s="2">
        <v>67</v>
      </c>
      <c r="M15" s="2">
        <v>70</v>
      </c>
      <c r="N15" s="2">
        <v>66</v>
      </c>
      <c r="O15" s="2">
        <f>54+90</f>
        <v>144</v>
      </c>
      <c r="P15" s="2">
        <v>82</v>
      </c>
      <c r="Q15" s="2">
        <f>59+90</f>
        <v>149</v>
      </c>
      <c r="R15" s="2">
        <v>105</v>
      </c>
      <c r="S15" s="2">
        <v>68</v>
      </c>
      <c r="T15" s="2">
        <v>64</v>
      </c>
      <c r="U15" s="3">
        <v>46</v>
      </c>
      <c r="V15" s="3">
        <v>38</v>
      </c>
      <c r="W15" s="1" t="s">
        <v>51</v>
      </c>
      <c r="X15" s="2" t="s">
        <v>44</v>
      </c>
      <c r="Y15" s="2" t="s">
        <v>52</v>
      </c>
      <c r="Z15" s="2" t="s">
        <v>30</v>
      </c>
      <c r="AA15" s="2" t="s">
        <v>29</v>
      </c>
      <c r="AB15" s="2" t="s">
        <v>29</v>
      </c>
      <c r="AC15" s="2" t="s">
        <v>29</v>
      </c>
    </row>
    <row r="16" spans="1:31" ht="15.75" customHeight="1" x14ac:dyDescent="0.15">
      <c r="A16" s="2" t="s">
        <v>126</v>
      </c>
      <c r="B16" s="2" t="s">
        <v>127</v>
      </c>
      <c r="C16" s="6">
        <v>9</v>
      </c>
      <c r="D16" s="7">
        <v>128</v>
      </c>
      <c r="E16" s="2">
        <v>75</v>
      </c>
      <c r="F16" s="2">
        <v>74</v>
      </c>
      <c r="G16" s="2">
        <v>74</v>
      </c>
      <c r="H16" s="2">
        <v>54</v>
      </c>
      <c r="I16" s="2">
        <v>43</v>
      </c>
      <c r="J16" s="2">
        <v>45</v>
      </c>
      <c r="K16" s="2">
        <v>56</v>
      </c>
      <c r="L16" s="2">
        <v>65</v>
      </c>
      <c r="M16" s="2">
        <v>59</v>
      </c>
      <c r="N16" s="2">
        <v>62</v>
      </c>
      <c r="O16" s="2">
        <f>44+90</f>
        <v>134</v>
      </c>
      <c r="P16" s="2">
        <v>86</v>
      </c>
      <c r="Q16" s="2">
        <f>43+90</f>
        <v>133</v>
      </c>
      <c r="R16" s="2">
        <v>110</v>
      </c>
      <c r="S16" s="2">
        <v>60</v>
      </c>
      <c r="T16" s="2">
        <v>72</v>
      </c>
      <c r="U16" s="3">
        <v>43</v>
      </c>
      <c r="V16" s="3">
        <v>41</v>
      </c>
      <c r="W16" s="1" t="s">
        <v>134</v>
      </c>
      <c r="X16" s="2" t="s">
        <v>44</v>
      </c>
      <c r="Y16" s="2" t="s">
        <v>28</v>
      </c>
      <c r="Z16" s="2" t="s">
        <v>49</v>
      </c>
      <c r="AA16" s="2" t="s">
        <v>49</v>
      </c>
      <c r="AB16" s="2" t="s">
        <v>35</v>
      </c>
      <c r="AC16" s="2" t="s">
        <v>35</v>
      </c>
    </row>
    <row r="17" spans="1:29" ht="15.75" customHeight="1" x14ac:dyDescent="0.15">
      <c r="A17" s="2" t="s">
        <v>128</v>
      </c>
      <c r="B17" s="2" t="s">
        <v>129</v>
      </c>
      <c r="C17" s="6">
        <v>8</v>
      </c>
      <c r="D17" s="7">
        <v>118</v>
      </c>
      <c r="E17" s="2">
        <v>70</v>
      </c>
      <c r="F17" s="2">
        <v>75</v>
      </c>
      <c r="G17" s="2">
        <v>70</v>
      </c>
      <c r="H17" s="2">
        <v>52</v>
      </c>
      <c r="I17" s="2">
        <v>45</v>
      </c>
      <c r="J17" s="2">
        <v>45</v>
      </c>
      <c r="K17" s="2">
        <v>71</v>
      </c>
      <c r="L17" s="2">
        <v>71</v>
      </c>
      <c r="M17" s="2">
        <v>64</v>
      </c>
      <c r="N17" s="2">
        <v>66</v>
      </c>
      <c r="O17" s="4">
        <f>50+90</f>
        <v>140</v>
      </c>
      <c r="P17" s="2">
        <v>105</v>
      </c>
      <c r="Q17" s="2">
        <f>46+90</f>
        <v>136</v>
      </c>
      <c r="R17" s="2">
        <v>115</v>
      </c>
      <c r="S17" s="2">
        <v>44</v>
      </c>
      <c r="T17" s="2">
        <v>58</v>
      </c>
      <c r="U17" s="3">
        <v>45</v>
      </c>
      <c r="V17" s="3">
        <v>45</v>
      </c>
      <c r="W17" s="1" t="s">
        <v>53</v>
      </c>
      <c r="X17" s="2" t="s">
        <v>40</v>
      </c>
      <c r="Y17" s="2" t="s">
        <v>28</v>
      </c>
      <c r="Z17" s="2" t="s">
        <v>30</v>
      </c>
      <c r="AA17" s="2" t="s">
        <v>29</v>
      </c>
      <c r="AB17" s="2" t="s">
        <v>29</v>
      </c>
      <c r="AC17" s="2" t="s">
        <v>33</v>
      </c>
    </row>
    <row r="18" spans="1:29" ht="15.75" customHeight="1" x14ac:dyDescent="0.15">
      <c r="A18" s="2" t="s">
        <v>130</v>
      </c>
      <c r="B18" s="2" t="s">
        <v>131</v>
      </c>
      <c r="C18" s="6">
        <v>6.5</v>
      </c>
      <c r="D18" s="7">
        <v>64</v>
      </c>
      <c r="E18" s="2">
        <v>74</v>
      </c>
      <c r="F18" s="2">
        <v>69</v>
      </c>
      <c r="G18" s="2">
        <v>86</v>
      </c>
      <c r="H18" s="2">
        <v>67</v>
      </c>
      <c r="I18" s="2">
        <v>43</v>
      </c>
      <c r="J18" s="2">
        <v>32</v>
      </c>
      <c r="K18" s="2">
        <v>62</v>
      </c>
      <c r="L18" s="2">
        <v>67</v>
      </c>
      <c r="M18" s="2">
        <v>61</v>
      </c>
      <c r="N18" s="2">
        <v>60</v>
      </c>
      <c r="O18" s="2">
        <f>53+90</f>
        <v>143</v>
      </c>
      <c r="P18" s="2">
        <v>69</v>
      </c>
      <c r="Q18" s="2">
        <f>39+90</f>
        <v>129</v>
      </c>
      <c r="R18" s="2">
        <v>89</v>
      </c>
      <c r="S18" s="2">
        <v>45</v>
      </c>
      <c r="T18" s="2">
        <v>60</v>
      </c>
      <c r="U18" s="3">
        <v>37</v>
      </c>
      <c r="V18" s="3">
        <v>37</v>
      </c>
      <c r="W18" s="1" t="s">
        <v>54</v>
      </c>
      <c r="X18" s="2" t="s">
        <v>27</v>
      </c>
      <c r="Y18" s="2" t="s">
        <v>28</v>
      </c>
      <c r="Z18" s="2" t="s">
        <v>30</v>
      </c>
      <c r="AA18" s="2" t="s">
        <v>30</v>
      </c>
      <c r="AB18" s="2" t="s">
        <v>33</v>
      </c>
      <c r="AC18" s="2" t="s">
        <v>33</v>
      </c>
    </row>
    <row r="19" spans="1:29" ht="15.75" customHeight="1" x14ac:dyDescent="0.15">
      <c r="A19" s="2" t="s">
        <v>132</v>
      </c>
      <c r="B19" s="2" t="s">
        <v>133</v>
      </c>
      <c r="C19" s="6">
        <v>9</v>
      </c>
      <c r="D19" s="7">
        <v>128</v>
      </c>
      <c r="E19" s="2">
        <v>70</v>
      </c>
      <c r="F19" s="2">
        <v>74</v>
      </c>
      <c r="G19" s="2">
        <v>90</v>
      </c>
      <c r="H19" s="2">
        <v>44</v>
      </c>
      <c r="I19" s="2">
        <v>50</v>
      </c>
      <c r="J19" s="2">
        <v>56</v>
      </c>
      <c r="K19" s="2">
        <v>87</v>
      </c>
      <c r="L19" s="2">
        <v>86</v>
      </c>
      <c r="M19" s="2">
        <v>83</v>
      </c>
      <c r="N19" s="2">
        <v>84</v>
      </c>
      <c r="O19" s="2">
        <f>41+90</f>
        <v>131</v>
      </c>
      <c r="P19" s="2">
        <v>110</v>
      </c>
      <c r="Q19" s="2">
        <f>40+90</f>
        <v>130</v>
      </c>
      <c r="R19" s="2">
        <v>115</v>
      </c>
      <c r="S19" s="2">
        <v>81</v>
      </c>
      <c r="T19" s="2">
        <v>78</v>
      </c>
      <c r="U19" s="3">
        <v>36</v>
      </c>
      <c r="V19" s="3">
        <v>35</v>
      </c>
      <c r="W19" s="1" t="s">
        <v>55</v>
      </c>
      <c r="X19" s="2" t="s">
        <v>40</v>
      </c>
      <c r="Y19" s="2" t="s">
        <v>28</v>
      </c>
      <c r="Z19" s="2" t="s">
        <v>29</v>
      </c>
      <c r="AA19" s="2" t="s">
        <v>30</v>
      </c>
      <c r="AB19" s="2" t="s">
        <v>33</v>
      </c>
      <c r="AC19" s="2" t="s">
        <v>33</v>
      </c>
    </row>
    <row r="20" spans="1:29" ht="15.75" customHeight="1" x14ac:dyDescent="0.15">
      <c r="U20" s="3"/>
      <c r="V20" s="3"/>
    </row>
    <row r="21" spans="1:29" ht="15.75" customHeight="1" x14ac:dyDescent="0.15">
      <c r="U21" s="3"/>
      <c r="V21" s="3"/>
    </row>
    <row r="22" spans="1:29" ht="15.75" customHeight="1" x14ac:dyDescent="0.15">
      <c r="U22" s="3"/>
      <c r="V22" s="3"/>
    </row>
    <row r="23" spans="1:29" ht="15.75" customHeight="1" x14ac:dyDescent="0.15">
      <c r="U23" s="3"/>
      <c r="V23" s="3"/>
    </row>
    <row r="24" spans="1:29" ht="15.75" customHeight="1" x14ac:dyDescent="0.15">
      <c r="U24" s="3"/>
      <c r="V24" s="3"/>
    </row>
    <row r="25" spans="1:29" ht="15.75" customHeight="1" x14ac:dyDescent="0.15">
      <c r="U25" s="3"/>
      <c r="V25" s="3"/>
    </row>
    <row r="26" spans="1:29" ht="15.75" customHeight="1" x14ac:dyDescent="0.15">
      <c r="U26" s="3"/>
      <c r="V26" s="3"/>
    </row>
    <row r="27" spans="1:29" ht="15.75" customHeight="1" x14ac:dyDescent="0.15">
      <c r="U27" s="3"/>
      <c r="V27" s="3"/>
    </row>
    <row r="28" spans="1:29" ht="15.75" customHeight="1" x14ac:dyDescent="0.15">
      <c r="U28" s="3"/>
      <c r="V28" s="3"/>
    </row>
    <row r="29" spans="1:29" ht="15.75" customHeight="1" x14ac:dyDescent="0.15">
      <c r="U29" s="3"/>
      <c r="V29" s="3"/>
    </row>
    <row r="30" spans="1:29" ht="15.75" customHeight="1" x14ac:dyDescent="0.15">
      <c r="U30" s="3"/>
      <c r="V30" s="3"/>
    </row>
    <row r="31" spans="1:29" ht="15.75" customHeight="1" x14ac:dyDescent="0.15">
      <c r="U31" s="3"/>
      <c r="V31" s="3"/>
    </row>
    <row r="32" spans="1:29" ht="15.75" customHeight="1" x14ac:dyDescent="0.15">
      <c r="U32" s="3"/>
      <c r="V32" s="3"/>
    </row>
    <row r="33" spans="21:22" ht="15.75" customHeight="1" x14ac:dyDescent="0.15">
      <c r="U33" s="3"/>
      <c r="V33" s="3"/>
    </row>
    <row r="34" spans="21:22" ht="15.75" customHeight="1" x14ac:dyDescent="0.15">
      <c r="U34" s="3"/>
      <c r="V34" s="3"/>
    </row>
    <row r="35" spans="21:22" ht="15.75" customHeight="1" x14ac:dyDescent="0.15">
      <c r="U35" s="3"/>
      <c r="V35" s="3"/>
    </row>
    <row r="36" spans="21:22" ht="15.75" customHeight="1" x14ac:dyDescent="0.15">
      <c r="U36" s="3"/>
      <c r="V36" s="3"/>
    </row>
    <row r="37" spans="21:22" ht="15.75" customHeight="1" x14ac:dyDescent="0.15">
      <c r="U37" s="3"/>
      <c r="V37" s="3"/>
    </row>
    <row r="38" spans="21:22" ht="15.75" customHeight="1" x14ac:dyDescent="0.15">
      <c r="U38" s="3"/>
      <c r="V38" s="3"/>
    </row>
    <row r="39" spans="21:22" ht="15.75" customHeight="1" x14ac:dyDescent="0.15">
      <c r="U39" s="3"/>
      <c r="V39" s="3"/>
    </row>
    <row r="40" spans="21:22" ht="15.75" customHeight="1" x14ac:dyDescent="0.15">
      <c r="U40" s="3"/>
      <c r="V40" s="3"/>
    </row>
    <row r="41" spans="21:22" ht="15.75" customHeight="1" x14ac:dyDescent="0.15">
      <c r="U41" s="3"/>
      <c r="V41" s="3"/>
    </row>
    <row r="42" spans="21:22" ht="15.75" customHeight="1" x14ac:dyDescent="0.15">
      <c r="U42" s="3"/>
      <c r="V42" s="3"/>
    </row>
    <row r="43" spans="21:22" ht="15.75" customHeight="1" x14ac:dyDescent="0.15">
      <c r="U43" s="3"/>
      <c r="V43" s="3"/>
    </row>
    <row r="44" spans="21:22" ht="15.75" customHeight="1" x14ac:dyDescent="0.15">
      <c r="U44" s="3"/>
      <c r="V44" s="3"/>
    </row>
    <row r="45" spans="21:22" ht="15.75" customHeight="1" x14ac:dyDescent="0.15">
      <c r="U45" s="3"/>
      <c r="V45" s="3"/>
    </row>
    <row r="46" spans="21:22" ht="15.75" customHeight="1" x14ac:dyDescent="0.15">
      <c r="U46" s="3"/>
      <c r="V46" s="3"/>
    </row>
    <row r="47" spans="21:22" ht="15.75" customHeight="1" x14ac:dyDescent="0.15">
      <c r="U47" s="3"/>
      <c r="V47" s="3"/>
    </row>
    <row r="48" spans="21:22" ht="15.75" customHeight="1" x14ac:dyDescent="0.15">
      <c r="U48" s="3"/>
      <c r="V48" s="3"/>
    </row>
    <row r="49" spans="21:22" ht="15.75" customHeight="1" x14ac:dyDescent="0.15">
      <c r="U49" s="3"/>
      <c r="V49" s="3"/>
    </row>
    <row r="50" spans="21:22" ht="15.75" customHeight="1" x14ac:dyDescent="0.15">
      <c r="U50" s="3"/>
      <c r="V50" s="3"/>
    </row>
    <row r="51" spans="21:22" ht="15.75" customHeight="1" x14ac:dyDescent="0.15">
      <c r="U51" s="3"/>
      <c r="V51" s="3"/>
    </row>
    <row r="52" spans="21:22" ht="15.75" customHeight="1" x14ac:dyDescent="0.15">
      <c r="U52" s="3"/>
      <c r="V52" s="3"/>
    </row>
    <row r="53" spans="21:22" ht="13" x14ac:dyDescent="0.15">
      <c r="U53" s="3"/>
      <c r="V53" s="3"/>
    </row>
    <row r="54" spans="21:22" ht="13" x14ac:dyDescent="0.15">
      <c r="U54" s="3"/>
      <c r="V54" s="3"/>
    </row>
    <row r="55" spans="21:22" ht="13" x14ac:dyDescent="0.15">
      <c r="U55" s="3"/>
      <c r="V55" s="3"/>
    </row>
    <row r="56" spans="21:22" ht="13" x14ac:dyDescent="0.15">
      <c r="U56" s="3"/>
      <c r="V56" s="3"/>
    </row>
    <row r="57" spans="21:22" ht="13" x14ac:dyDescent="0.15">
      <c r="U57" s="3"/>
      <c r="V57" s="3"/>
    </row>
    <row r="58" spans="21:22" ht="13" x14ac:dyDescent="0.15">
      <c r="U58" s="3"/>
      <c r="V58" s="3"/>
    </row>
    <row r="59" spans="21:22" ht="13" x14ac:dyDescent="0.15">
      <c r="U59" s="3"/>
      <c r="V59" s="3"/>
    </row>
    <row r="60" spans="21:22" ht="13" x14ac:dyDescent="0.15">
      <c r="U60" s="3"/>
      <c r="V60" s="3"/>
    </row>
    <row r="61" spans="21:22" ht="13" x14ac:dyDescent="0.15">
      <c r="U61" s="3"/>
      <c r="V61" s="3"/>
    </row>
    <row r="62" spans="21:22" ht="13" x14ac:dyDescent="0.15">
      <c r="U62" s="3"/>
      <c r="V62" s="3"/>
    </row>
    <row r="63" spans="21:22" ht="13" x14ac:dyDescent="0.15">
      <c r="U63" s="3"/>
      <c r="V63" s="3"/>
    </row>
    <row r="64" spans="21:22" ht="13" x14ac:dyDescent="0.15">
      <c r="U64" s="3"/>
      <c r="V64" s="3"/>
    </row>
    <row r="65" spans="21:22" ht="13" x14ac:dyDescent="0.15">
      <c r="U65" s="3"/>
      <c r="V65" s="3"/>
    </row>
    <row r="66" spans="21:22" ht="13" x14ac:dyDescent="0.15">
      <c r="U66" s="3"/>
      <c r="V66" s="3"/>
    </row>
    <row r="67" spans="21:22" ht="13" x14ac:dyDescent="0.15">
      <c r="U67" s="3"/>
      <c r="V67" s="3"/>
    </row>
    <row r="68" spans="21:22" ht="13" x14ac:dyDescent="0.15">
      <c r="U68" s="3"/>
      <c r="V68" s="3"/>
    </row>
    <row r="69" spans="21:22" ht="13" x14ac:dyDescent="0.15">
      <c r="U69" s="3"/>
      <c r="V69" s="3"/>
    </row>
    <row r="70" spans="21:22" ht="13" x14ac:dyDescent="0.15">
      <c r="U70" s="3"/>
      <c r="V70" s="3"/>
    </row>
    <row r="71" spans="21:22" ht="13" x14ac:dyDescent="0.15">
      <c r="U71" s="3"/>
      <c r="V71" s="3"/>
    </row>
    <row r="72" spans="21:22" ht="13" x14ac:dyDescent="0.15">
      <c r="U72" s="3"/>
      <c r="V72" s="3"/>
    </row>
    <row r="73" spans="21:22" ht="13" x14ac:dyDescent="0.15">
      <c r="U73" s="3"/>
      <c r="V73" s="3"/>
    </row>
    <row r="74" spans="21:22" ht="13" x14ac:dyDescent="0.15">
      <c r="U74" s="3"/>
      <c r="V74" s="3"/>
    </row>
    <row r="75" spans="21:22" ht="13" x14ac:dyDescent="0.15">
      <c r="U75" s="3"/>
      <c r="V75" s="3"/>
    </row>
    <row r="76" spans="21:22" ht="13" x14ac:dyDescent="0.15">
      <c r="U76" s="3"/>
      <c r="V76" s="3"/>
    </row>
    <row r="77" spans="21:22" ht="13" x14ac:dyDescent="0.15">
      <c r="U77" s="3"/>
      <c r="V77" s="3"/>
    </row>
    <row r="78" spans="21:22" ht="13" x14ac:dyDescent="0.15">
      <c r="U78" s="3"/>
      <c r="V78" s="3"/>
    </row>
    <row r="79" spans="21:22" ht="13" x14ac:dyDescent="0.15">
      <c r="U79" s="3"/>
      <c r="V79" s="3"/>
    </row>
    <row r="80" spans="21:22" ht="13" x14ac:dyDescent="0.15">
      <c r="U80" s="3"/>
      <c r="V80" s="3"/>
    </row>
    <row r="81" spans="21:22" ht="13" x14ac:dyDescent="0.15">
      <c r="U81" s="3"/>
      <c r="V81" s="3"/>
    </row>
    <row r="82" spans="21:22" ht="13" x14ac:dyDescent="0.15">
      <c r="U82" s="3"/>
      <c r="V82" s="3"/>
    </row>
    <row r="83" spans="21:22" ht="13" x14ac:dyDescent="0.15">
      <c r="U83" s="3"/>
      <c r="V83" s="3"/>
    </row>
    <row r="84" spans="21:22" ht="13" x14ac:dyDescent="0.15">
      <c r="U84" s="3"/>
      <c r="V84" s="3"/>
    </row>
    <row r="85" spans="21:22" ht="13" x14ac:dyDescent="0.15">
      <c r="U85" s="3"/>
      <c r="V85" s="3"/>
    </row>
    <row r="86" spans="21:22" ht="13" x14ac:dyDescent="0.15">
      <c r="U86" s="3"/>
      <c r="V86" s="3"/>
    </row>
    <row r="87" spans="21:22" ht="13" x14ac:dyDescent="0.15">
      <c r="U87" s="3"/>
      <c r="V87" s="3"/>
    </row>
    <row r="88" spans="21:22" ht="13" x14ac:dyDescent="0.15">
      <c r="U88" s="3"/>
      <c r="V88" s="3"/>
    </row>
    <row r="89" spans="21:22" ht="13" x14ac:dyDescent="0.15">
      <c r="U89" s="3"/>
      <c r="V89" s="3"/>
    </row>
    <row r="90" spans="21:22" ht="13" x14ac:dyDescent="0.15">
      <c r="U90" s="3"/>
      <c r="V90" s="3"/>
    </row>
    <row r="91" spans="21:22" ht="13" x14ac:dyDescent="0.15">
      <c r="U91" s="3"/>
      <c r="V91" s="3"/>
    </row>
    <row r="92" spans="21:22" ht="13" x14ac:dyDescent="0.15">
      <c r="U92" s="3"/>
      <c r="V92" s="3"/>
    </row>
    <row r="93" spans="21:22" ht="13" x14ac:dyDescent="0.15">
      <c r="U93" s="3"/>
      <c r="V93" s="3"/>
    </row>
    <row r="94" spans="21:22" ht="13" x14ac:dyDescent="0.15">
      <c r="U94" s="3"/>
      <c r="V94" s="3"/>
    </row>
    <row r="95" spans="21:22" ht="13" x14ac:dyDescent="0.15">
      <c r="U95" s="3"/>
      <c r="V95" s="3"/>
    </row>
    <row r="96" spans="21:22" ht="13" x14ac:dyDescent="0.15">
      <c r="U96" s="3"/>
      <c r="V96" s="3"/>
    </row>
    <row r="97" spans="21:22" ht="13" x14ac:dyDescent="0.15">
      <c r="U97" s="3"/>
      <c r="V97" s="3"/>
    </row>
    <row r="98" spans="21:22" ht="13" x14ac:dyDescent="0.15">
      <c r="U98" s="3"/>
      <c r="V98" s="3"/>
    </row>
    <row r="99" spans="21:22" ht="13" x14ac:dyDescent="0.15">
      <c r="U99" s="3"/>
      <c r="V99" s="3"/>
    </row>
    <row r="100" spans="21:22" ht="13" x14ac:dyDescent="0.15">
      <c r="U100" s="3"/>
      <c r="V100" s="3"/>
    </row>
    <row r="101" spans="21:22" ht="13" x14ac:dyDescent="0.15">
      <c r="U101" s="3"/>
      <c r="V101" s="3"/>
    </row>
    <row r="102" spans="21:22" ht="13" x14ac:dyDescent="0.15">
      <c r="U102" s="3"/>
      <c r="V102" s="3"/>
    </row>
    <row r="103" spans="21:22" ht="13" x14ac:dyDescent="0.15">
      <c r="U103" s="3"/>
      <c r="V103" s="3"/>
    </row>
    <row r="104" spans="21:22" ht="13" x14ac:dyDescent="0.15">
      <c r="U104" s="3"/>
      <c r="V104" s="3"/>
    </row>
    <row r="105" spans="21:22" ht="13" x14ac:dyDescent="0.15">
      <c r="U105" s="3"/>
      <c r="V105" s="3"/>
    </row>
    <row r="106" spans="21:22" ht="13" x14ac:dyDescent="0.15">
      <c r="U106" s="3"/>
      <c r="V106" s="3"/>
    </row>
    <row r="107" spans="21:22" ht="13" x14ac:dyDescent="0.15">
      <c r="U107" s="3"/>
      <c r="V107" s="3"/>
    </row>
    <row r="108" spans="21:22" ht="13" x14ac:dyDescent="0.15">
      <c r="U108" s="3"/>
      <c r="V108" s="3"/>
    </row>
    <row r="109" spans="21:22" ht="13" x14ac:dyDescent="0.15">
      <c r="U109" s="3"/>
      <c r="V109" s="3"/>
    </row>
    <row r="110" spans="21:22" ht="13" x14ac:dyDescent="0.15">
      <c r="U110" s="3"/>
      <c r="V110" s="3"/>
    </row>
    <row r="111" spans="21:22" ht="13" x14ac:dyDescent="0.15">
      <c r="U111" s="3"/>
      <c r="V111" s="3"/>
    </row>
    <row r="112" spans="21:22" ht="13" x14ac:dyDescent="0.15">
      <c r="U112" s="3"/>
      <c r="V112" s="3"/>
    </row>
    <row r="113" spans="21:22" ht="13" x14ac:dyDescent="0.15">
      <c r="U113" s="3"/>
      <c r="V113" s="3"/>
    </row>
    <row r="114" spans="21:22" ht="13" x14ac:dyDescent="0.15">
      <c r="U114" s="3"/>
      <c r="V114" s="3"/>
    </row>
    <row r="115" spans="21:22" ht="13" x14ac:dyDescent="0.15">
      <c r="U115" s="3"/>
      <c r="V115" s="3"/>
    </row>
    <row r="116" spans="21:22" ht="13" x14ac:dyDescent="0.15">
      <c r="U116" s="3"/>
      <c r="V116" s="3"/>
    </row>
    <row r="117" spans="21:22" ht="13" x14ac:dyDescent="0.15">
      <c r="U117" s="3"/>
      <c r="V117" s="3"/>
    </row>
    <row r="118" spans="21:22" ht="13" x14ac:dyDescent="0.15">
      <c r="U118" s="3"/>
      <c r="V118" s="3"/>
    </row>
    <row r="119" spans="21:22" ht="13" x14ac:dyDescent="0.15">
      <c r="U119" s="3"/>
      <c r="V119" s="3"/>
    </row>
    <row r="120" spans="21:22" ht="13" x14ac:dyDescent="0.15">
      <c r="U120" s="3"/>
      <c r="V120" s="3"/>
    </row>
    <row r="121" spans="21:22" ht="13" x14ac:dyDescent="0.15">
      <c r="U121" s="3"/>
      <c r="V121" s="3"/>
    </row>
    <row r="122" spans="21:22" ht="13" x14ac:dyDescent="0.15">
      <c r="U122" s="3"/>
      <c r="V122" s="3"/>
    </row>
    <row r="123" spans="21:22" ht="13" x14ac:dyDescent="0.15">
      <c r="U123" s="3"/>
      <c r="V123" s="3"/>
    </row>
    <row r="124" spans="21:22" ht="13" x14ac:dyDescent="0.15">
      <c r="U124" s="3"/>
      <c r="V124" s="3"/>
    </row>
    <row r="125" spans="21:22" ht="13" x14ac:dyDescent="0.15">
      <c r="U125" s="3"/>
      <c r="V125" s="3"/>
    </row>
    <row r="126" spans="21:22" ht="13" x14ac:dyDescent="0.15">
      <c r="U126" s="3"/>
      <c r="V126" s="3"/>
    </row>
    <row r="127" spans="21:22" ht="13" x14ac:dyDescent="0.15">
      <c r="U127" s="3"/>
      <c r="V127" s="3"/>
    </row>
    <row r="128" spans="21:22" ht="13" x14ac:dyDescent="0.15">
      <c r="U128" s="3"/>
      <c r="V128" s="3"/>
    </row>
    <row r="129" spans="21:22" ht="13" x14ac:dyDescent="0.15">
      <c r="U129" s="3"/>
      <c r="V129" s="3"/>
    </row>
    <row r="130" spans="21:22" ht="13" x14ac:dyDescent="0.15">
      <c r="U130" s="3"/>
      <c r="V130" s="3"/>
    </row>
    <row r="131" spans="21:22" ht="13" x14ac:dyDescent="0.15">
      <c r="U131" s="3"/>
      <c r="V131" s="3"/>
    </row>
    <row r="132" spans="21:22" ht="13" x14ac:dyDescent="0.15">
      <c r="U132" s="3"/>
      <c r="V132" s="3"/>
    </row>
    <row r="133" spans="21:22" ht="13" x14ac:dyDescent="0.15">
      <c r="U133" s="3"/>
      <c r="V133" s="3"/>
    </row>
    <row r="134" spans="21:22" ht="13" x14ac:dyDescent="0.15">
      <c r="U134" s="3"/>
      <c r="V134" s="3"/>
    </row>
    <row r="135" spans="21:22" ht="13" x14ac:dyDescent="0.15">
      <c r="U135" s="3"/>
      <c r="V135" s="3"/>
    </row>
    <row r="136" spans="21:22" ht="13" x14ac:dyDescent="0.15">
      <c r="U136" s="3"/>
      <c r="V136" s="3"/>
    </row>
    <row r="137" spans="21:22" ht="13" x14ac:dyDescent="0.15">
      <c r="U137" s="3"/>
      <c r="V137" s="3"/>
    </row>
    <row r="138" spans="21:22" ht="13" x14ac:dyDescent="0.15">
      <c r="U138" s="3"/>
      <c r="V138" s="3"/>
    </row>
    <row r="139" spans="21:22" ht="13" x14ac:dyDescent="0.15">
      <c r="U139" s="3"/>
      <c r="V139" s="3"/>
    </row>
    <row r="140" spans="21:22" ht="13" x14ac:dyDescent="0.15">
      <c r="U140" s="3"/>
      <c r="V140" s="3"/>
    </row>
    <row r="141" spans="21:22" ht="13" x14ac:dyDescent="0.15">
      <c r="U141" s="3"/>
      <c r="V141" s="3"/>
    </row>
    <row r="142" spans="21:22" ht="13" x14ac:dyDescent="0.15">
      <c r="U142" s="3"/>
      <c r="V142" s="3"/>
    </row>
    <row r="143" spans="21:22" ht="13" x14ac:dyDescent="0.15">
      <c r="U143" s="3"/>
      <c r="V143" s="3"/>
    </row>
    <row r="144" spans="21:22" ht="13" x14ac:dyDescent="0.15">
      <c r="U144" s="3"/>
      <c r="V144" s="3"/>
    </row>
    <row r="145" spans="21:22" ht="13" x14ac:dyDescent="0.15">
      <c r="U145" s="3"/>
      <c r="V145" s="3"/>
    </row>
    <row r="146" spans="21:22" ht="13" x14ac:dyDescent="0.15">
      <c r="U146" s="3"/>
      <c r="V146" s="3"/>
    </row>
    <row r="147" spans="21:22" ht="13" x14ac:dyDescent="0.15">
      <c r="U147" s="3"/>
      <c r="V147" s="3"/>
    </row>
    <row r="148" spans="21:22" ht="13" x14ac:dyDescent="0.15">
      <c r="U148" s="3"/>
      <c r="V148" s="3"/>
    </row>
    <row r="149" spans="21:22" ht="13" x14ac:dyDescent="0.15">
      <c r="U149" s="3"/>
      <c r="V149" s="3"/>
    </row>
    <row r="150" spans="21:22" ht="13" x14ac:dyDescent="0.15">
      <c r="U150" s="3"/>
      <c r="V150" s="3"/>
    </row>
    <row r="151" spans="21:22" ht="13" x14ac:dyDescent="0.15">
      <c r="U151" s="3"/>
      <c r="V151" s="3"/>
    </row>
    <row r="152" spans="21:22" ht="13" x14ac:dyDescent="0.15">
      <c r="U152" s="3"/>
      <c r="V152" s="3"/>
    </row>
    <row r="153" spans="21:22" ht="13" x14ac:dyDescent="0.15">
      <c r="U153" s="3"/>
      <c r="V153" s="3"/>
    </row>
    <row r="154" spans="21:22" ht="13" x14ac:dyDescent="0.15">
      <c r="U154" s="3"/>
      <c r="V154" s="3"/>
    </row>
    <row r="155" spans="21:22" ht="13" x14ac:dyDescent="0.15">
      <c r="U155" s="3"/>
      <c r="V155" s="3"/>
    </row>
    <row r="156" spans="21:22" ht="13" x14ac:dyDescent="0.15">
      <c r="U156" s="3"/>
      <c r="V156" s="3"/>
    </row>
    <row r="157" spans="21:22" ht="13" x14ac:dyDescent="0.15">
      <c r="U157" s="3"/>
      <c r="V157" s="3"/>
    </row>
    <row r="158" spans="21:22" ht="13" x14ac:dyDescent="0.15">
      <c r="U158" s="3"/>
      <c r="V158" s="3"/>
    </row>
    <row r="159" spans="21:22" ht="13" x14ac:dyDescent="0.15">
      <c r="U159" s="3"/>
      <c r="V159" s="3"/>
    </row>
    <row r="160" spans="21:22" ht="13" x14ac:dyDescent="0.15">
      <c r="U160" s="3"/>
      <c r="V160" s="3"/>
    </row>
    <row r="161" spans="21:22" ht="13" x14ac:dyDescent="0.15">
      <c r="U161" s="3"/>
      <c r="V161" s="3"/>
    </row>
    <row r="162" spans="21:22" ht="13" x14ac:dyDescent="0.15">
      <c r="U162" s="3"/>
      <c r="V162" s="3"/>
    </row>
    <row r="163" spans="21:22" ht="13" x14ac:dyDescent="0.15">
      <c r="U163" s="3"/>
      <c r="V163" s="3"/>
    </row>
    <row r="164" spans="21:22" ht="13" x14ac:dyDescent="0.15">
      <c r="U164" s="3"/>
      <c r="V164" s="3"/>
    </row>
    <row r="165" spans="21:22" ht="13" x14ac:dyDescent="0.15">
      <c r="U165" s="3"/>
      <c r="V165" s="3"/>
    </row>
    <row r="166" spans="21:22" ht="13" x14ac:dyDescent="0.15">
      <c r="U166" s="3"/>
      <c r="V166" s="3"/>
    </row>
    <row r="167" spans="21:22" ht="13" x14ac:dyDescent="0.15">
      <c r="U167" s="3"/>
      <c r="V167" s="3"/>
    </row>
    <row r="168" spans="21:22" ht="13" x14ac:dyDescent="0.15">
      <c r="U168" s="3"/>
      <c r="V168" s="3"/>
    </row>
    <row r="169" spans="21:22" ht="13" x14ac:dyDescent="0.15">
      <c r="U169" s="3"/>
      <c r="V169" s="3"/>
    </row>
    <row r="170" spans="21:22" ht="13" x14ac:dyDescent="0.15">
      <c r="U170" s="3"/>
      <c r="V170" s="3"/>
    </row>
    <row r="171" spans="21:22" ht="13" x14ac:dyDescent="0.15">
      <c r="U171" s="3"/>
      <c r="V171" s="3"/>
    </row>
    <row r="172" spans="21:22" ht="13" x14ac:dyDescent="0.15">
      <c r="U172" s="3"/>
      <c r="V172" s="3"/>
    </row>
    <row r="173" spans="21:22" ht="13" x14ac:dyDescent="0.15">
      <c r="U173" s="3"/>
      <c r="V173" s="3"/>
    </row>
    <row r="174" spans="21:22" ht="13" x14ac:dyDescent="0.15">
      <c r="U174" s="3"/>
      <c r="V174" s="3"/>
    </row>
    <row r="175" spans="21:22" ht="13" x14ac:dyDescent="0.15">
      <c r="U175" s="3"/>
      <c r="V175" s="3"/>
    </row>
    <row r="176" spans="21:22" ht="13" x14ac:dyDescent="0.15">
      <c r="U176" s="3"/>
      <c r="V176" s="3"/>
    </row>
    <row r="177" spans="21:22" ht="13" x14ac:dyDescent="0.15">
      <c r="U177" s="3"/>
      <c r="V177" s="3"/>
    </row>
    <row r="178" spans="21:22" ht="13" x14ac:dyDescent="0.15">
      <c r="U178" s="3"/>
      <c r="V178" s="3"/>
    </row>
    <row r="179" spans="21:22" ht="13" x14ac:dyDescent="0.15">
      <c r="U179" s="3"/>
      <c r="V179" s="3"/>
    </row>
    <row r="180" spans="21:22" ht="13" x14ac:dyDescent="0.15">
      <c r="U180" s="3"/>
      <c r="V180" s="3"/>
    </row>
    <row r="181" spans="21:22" ht="13" x14ac:dyDescent="0.15">
      <c r="U181" s="3"/>
      <c r="V181" s="3"/>
    </row>
    <row r="182" spans="21:22" ht="13" x14ac:dyDescent="0.15">
      <c r="U182" s="3"/>
      <c r="V182" s="3"/>
    </row>
    <row r="183" spans="21:22" ht="13" x14ac:dyDescent="0.15">
      <c r="U183" s="3"/>
      <c r="V183" s="3"/>
    </row>
    <row r="184" spans="21:22" ht="13" x14ac:dyDescent="0.15">
      <c r="U184" s="3"/>
      <c r="V184" s="3"/>
    </row>
    <row r="185" spans="21:22" ht="13" x14ac:dyDescent="0.15">
      <c r="U185" s="3"/>
      <c r="V185" s="3"/>
    </row>
    <row r="186" spans="21:22" ht="13" x14ac:dyDescent="0.15">
      <c r="U186" s="3"/>
      <c r="V186" s="3"/>
    </row>
    <row r="187" spans="21:22" ht="13" x14ac:dyDescent="0.15">
      <c r="U187" s="3"/>
      <c r="V187" s="3"/>
    </row>
    <row r="188" spans="21:22" ht="13" x14ac:dyDescent="0.15">
      <c r="U188" s="3"/>
      <c r="V188" s="3"/>
    </row>
    <row r="189" spans="21:22" ht="13" x14ac:dyDescent="0.15">
      <c r="U189" s="3"/>
      <c r="V189" s="3"/>
    </row>
    <row r="190" spans="21:22" ht="13" x14ac:dyDescent="0.15">
      <c r="U190" s="3"/>
      <c r="V190" s="3"/>
    </row>
    <row r="191" spans="21:22" ht="13" x14ac:dyDescent="0.15">
      <c r="U191" s="3"/>
      <c r="V191" s="3"/>
    </row>
    <row r="192" spans="21:22" ht="13" x14ac:dyDescent="0.15">
      <c r="U192" s="3"/>
      <c r="V192" s="3"/>
    </row>
    <row r="193" spans="21:22" ht="13" x14ac:dyDescent="0.15">
      <c r="U193" s="3"/>
      <c r="V193" s="3"/>
    </row>
    <row r="194" spans="21:22" ht="13" x14ac:dyDescent="0.15">
      <c r="U194" s="3"/>
      <c r="V194" s="3"/>
    </row>
    <row r="195" spans="21:22" ht="13" x14ac:dyDescent="0.15">
      <c r="U195" s="3"/>
      <c r="V195" s="3"/>
    </row>
    <row r="196" spans="21:22" ht="13" x14ac:dyDescent="0.15">
      <c r="U196" s="3"/>
      <c r="V196" s="3"/>
    </row>
    <row r="197" spans="21:22" ht="13" x14ac:dyDescent="0.15">
      <c r="U197" s="3"/>
      <c r="V197" s="3"/>
    </row>
    <row r="198" spans="21:22" ht="13" x14ac:dyDescent="0.15">
      <c r="U198" s="3"/>
      <c r="V198" s="3"/>
    </row>
    <row r="199" spans="21:22" ht="13" x14ac:dyDescent="0.15">
      <c r="U199" s="3"/>
      <c r="V199" s="3"/>
    </row>
    <row r="200" spans="21:22" ht="13" x14ac:dyDescent="0.15">
      <c r="U200" s="3"/>
      <c r="V200" s="3"/>
    </row>
    <row r="201" spans="21:22" ht="13" x14ac:dyDescent="0.15">
      <c r="U201" s="3"/>
      <c r="V201" s="3"/>
    </row>
    <row r="202" spans="21:22" ht="13" x14ac:dyDescent="0.15">
      <c r="U202" s="3"/>
      <c r="V202" s="3"/>
    </row>
    <row r="203" spans="21:22" ht="13" x14ac:dyDescent="0.15">
      <c r="U203" s="3"/>
      <c r="V203" s="3"/>
    </row>
    <row r="204" spans="21:22" ht="13" x14ac:dyDescent="0.15">
      <c r="U204" s="3"/>
      <c r="V204" s="3"/>
    </row>
    <row r="205" spans="21:22" ht="13" x14ac:dyDescent="0.15">
      <c r="U205" s="3"/>
      <c r="V205" s="3"/>
    </row>
    <row r="206" spans="21:22" ht="13" x14ac:dyDescent="0.15">
      <c r="U206" s="3"/>
      <c r="V206" s="3"/>
    </row>
    <row r="207" spans="21:22" ht="13" x14ac:dyDescent="0.15">
      <c r="U207" s="3"/>
      <c r="V207" s="3"/>
    </row>
    <row r="208" spans="21:22" ht="13" x14ac:dyDescent="0.15">
      <c r="U208" s="3"/>
      <c r="V208" s="3"/>
    </row>
    <row r="209" spans="21:22" ht="13" x14ac:dyDescent="0.15">
      <c r="U209" s="3"/>
      <c r="V209" s="3"/>
    </row>
    <row r="210" spans="21:22" ht="13" x14ac:dyDescent="0.15">
      <c r="U210" s="3"/>
      <c r="V210" s="3"/>
    </row>
    <row r="211" spans="21:22" ht="13" x14ac:dyDescent="0.15">
      <c r="U211" s="3"/>
      <c r="V211" s="3"/>
    </row>
    <row r="212" spans="21:22" ht="13" x14ac:dyDescent="0.15">
      <c r="U212" s="3"/>
      <c r="V212" s="3"/>
    </row>
    <row r="213" spans="21:22" ht="13" x14ac:dyDescent="0.15">
      <c r="U213" s="3"/>
      <c r="V213" s="3"/>
    </row>
    <row r="214" spans="21:22" ht="13" x14ac:dyDescent="0.15">
      <c r="U214" s="3"/>
      <c r="V214" s="3"/>
    </row>
    <row r="215" spans="21:22" ht="13" x14ac:dyDescent="0.15">
      <c r="U215" s="3"/>
      <c r="V215" s="3"/>
    </row>
    <row r="216" spans="21:22" ht="13" x14ac:dyDescent="0.15">
      <c r="U216" s="3"/>
      <c r="V216" s="3"/>
    </row>
    <row r="217" spans="21:22" ht="13" x14ac:dyDescent="0.15">
      <c r="U217" s="3"/>
      <c r="V217" s="3"/>
    </row>
    <row r="218" spans="21:22" ht="13" x14ac:dyDescent="0.15">
      <c r="U218" s="3"/>
      <c r="V218" s="3"/>
    </row>
    <row r="219" spans="21:22" ht="13" x14ac:dyDescent="0.15">
      <c r="U219" s="3"/>
      <c r="V219" s="3"/>
    </row>
    <row r="220" spans="21:22" ht="13" x14ac:dyDescent="0.15">
      <c r="U220" s="3"/>
      <c r="V220" s="3"/>
    </row>
    <row r="221" spans="21:22" ht="13" x14ac:dyDescent="0.15">
      <c r="U221" s="3"/>
      <c r="V221" s="3"/>
    </row>
    <row r="222" spans="21:22" ht="13" x14ac:dyDescent="0.15">
      <c r="U222" s="3"/>
      <c r="V222" s="3"/>
    </row>
    <row r="223" spans="21:22" ht="13" x14ac:dyDescent="0.15">
      <c r="U223" s="3"/>
      <c r="V223" s="3"/>
    </row>
    <row r="224" spans="21:22" ht="13" x14ac:dyDescent="0.15">
      <c r="U224" s="3"/>
      <c r="V224" s="3"/>
    </row>
    <row r="225" spans="21:22" ht="13" x14ac:dyDescent="0.15">
      <c r="U225" s="3"/>
      <c r="V225" s="3"/>
    </row>
    <row r="226" spans="21:22" ht="13" x14ac:dyDescent="0.15">
      <c r="U226" s="3"/>
      <c r="V226" s="3"/>
    </row>
    <row r="227" spans="21:22" ht="13" x14ac:dyDescent="0.15">
      <c r="U227" s="3"/>
      <c r="V227" s="3"/>
    </row>
    <row r="228" spans="21:22" ht="13" x14ac:dyDescent="0.15">
      <c r="U228" s="3"/>
      <c r="V228" s="3"/>
    </row>
    <row r="229" spans="21:22" ht="13" x14ac:dyDescent="0.15">
      <c r="U229" s="3"/>
      <c r="V229" s="3"/>
    </row>
    <row r="230" spans="21:22" ht="13" x14ac:dyDescent="0.15">
      <c r="U230" s="3"/>
      <c r="V230" s="3"/>
    </row>
    <row r="231" spans="21:22" ht="13" x14ac:dyDescent="0.15">
      <c r="U231" s="3"/>
      <c r="V231" s="3"/>
    </row>
    <row r="232" spans="21:22" ht="13" x14ac:dyDescent="0.15">
      <c r="U232" s="3"/>
      <c r="V232" s="3"/>
    </row>
    <row r="233" spans="21:22" ht="13" x14ac:dyDescent="0.15">
      <c r="U233" s="3"/>
      <c r="V233" s="3"/>
    </row>
    <row r="234" spans="21:22" ht="13" x14ac:dyDescent="0.15">
      <c r="U234" s="3"/>
      <c r="V234" s="3"/>
    </row>
    <row r="235" spans="21:22" ht="13" x14ac:dyDescent="0.15">
      <c r="U235" s="3"/>
      <c r="V235" s="3"/>
    </row>
    <row r="236" spans="21:22" ht="13" x14ac:dyDescent="0.15">
      <c r="U236" s="3"/>
      <c r="V236" s="3"/>
    </row>
    <row r="237" spans="21:22" ht="13" x14ac:dyDescent="0.15">
      <c r="U237" s="3"/>
      <c r="V237" s="3"/>
    </row>
    <row r="238" spans="21:22" ht="13" x14ac:dyDescent="0.15">
      <c r="U238" s="3"/>
      <c r="V238" s="3"/>
    </row>
    <row r="239" spans="21:22" ht="13" x14ac:dyDescent="0.15">
      <c r="U239" s="3"/>
      <c r="V239" s="3"/>
    </row>
    <row r="240" spans="21:22" ht="13" x14ac:dyDescent="0.15">
      <c r="U240" s="3"/>
      <c r="V240" s="3"/>
    </row>
    <row r="241" spans="21:22" ht="13" x14ac:dyDescent="0.15">
      <c r="U241" s="3"/>
      <c r="V241" s="3"/>
    </row>
    <row r="242" spans="21:22" ht="13" x14ac:dyDescent="0.15">
      <c r="U242" s="3"/>
      <c r="V242" s="3"/>
    </row>
    <row r="243" spans="21:22" ht="13" x14ac:dyDescent="0.15">
      <c r="U243" s="3"/>
      <c r="V243" s="3"/>
    </row>
    <row r="244" spans="21:22" ht="13" x14ac:dyDescent="0.15">
      <c r="U244" s="3"/>
      <c r="V244" s="3"/>
    </row>
    <row r="245" spans="21:22" ht="13" x14ac:dyDescent="0.15">
      <c r="U245" s="3"/>
      <c r="V245" s="3"/>
    </row>
    <row r="246" spans="21:22" ht="13" x14ac:dyDescent="0.15">
      <c r="U246" s="3"/>
      <c r="V246" s="3"/>
    </row>
    <row r="247" spans="21:22" ht="13" x14ac:dyDescent="0.15">
      <c r="U247" s="3"/>
      <c r="V247" s="3"/>
    </row>
    <row r="248" spans="21:22" ht="13" x14ac:dyDescent="0.15">
      <c r="U248" s="3"/>
      <c r="V248" s="3"/>
    </row>
    <row r="249" spans="21:22" ht="13" x14ac:dyDescent="0.15">
      <c r="U249" s="3"/>
      <c r="V249" s="3"/>
    </row>
    <row r="250" spans="21:22" ht="13" x14ac:dyDescent="0.15">
      <c r="U250" s="3"/>
      <c r="V250" s="3"/>
    </row>
    <row r="251" spans="21:22" ht="13" x14ac:dyDescent="0.15">
      <c r="U251" s="3"/>
      <c r="V251" s="3"/>
    </row>
    <row r="252" spans="21:22" ht="13" x14ac:dyDescent="0.15">
      <c r="U252" s="3"/>
      <c r="V252" s="3"/>
    </row>
    <row r="253" spans="21:22" ht="13" x14ac:dyDescent="0.15">
      <c r="U253" s="3"/>
      <c r="V253" s="3"/>
    </row>
    <row r="254" spans="21:22" ht="13" x14ac:dyDescent="0.15">
      <c r="U254" s="3"/>
      <c r="V254" s="3"/>
    </row>
    <row r="255" spans="21:22" ht="13" x14ac:dyDescent="0.15">
      <c r="U255" s="3"/>
      <c r="V255" s="3"/>
    </row>
    <row r="256" spans="21:22" ht="13" x14ac:dyDescent="0.15">
      <c r="U256" s="3"/>
      <c r="V256" s="3"/>
    </row>
    <row r="257" spans="21:22" ht="13" x14ac:dyDescent="0.15">
      <c r="U257" s="3"/>
      <c r="V257" s="3"/>
    </row>
    <row r="258" spans="21:22" ht="13" x14ac:dyDescent="0.15">
      <c r="U258" s="3"/>
      <c r="V258" s="3"/>
    </row>
    <row r="259" spans="21:22" ht="13" x14ac:dyDescent="0.15">
      <c r="U259" s="3"/>
      <c r="V259" s="3"/>
    </row>
    <row r="260" spans="21:22" ht="13" x14ac:dyDescent="0.15">
      <c r="U260" s="3"/>
      <c r="V260" s="3"/>
    </row>
    <row r="261" spans="21:22" ht="13" x14ac:dyDescent="0.15">
      <c r="U261" s="3"/>
      <c r="V261" s="3"/>
    </row>
    <row r="262" spans="21:22" ht="13" x14ac:dyDescent="0.15">
      <c r="U262" s="3"/>
      <c r="V262" s="3"/>
    </row>
    <row r="263" spans="21:22" ht="13" x14ac:dyDescent="0.15">
      <c r="U263" s="3"/>
      <c r="V263" s="3"/>
    </row>
    <row r="264" spans="21:22" ht="13" x14ac:dyDescent="0.15">
      <c r="U264" s="3"/>
      <c r="V264" s="3"/>
    </row>
    <row r="265" spans="21:22" ht="13" x14ac:dyDescent="0.15">
      <c r="U265" s="3"/>
      <c r="V265" s="3"/>
    </row>
    <row r="266" spans="21:22" ht="13" x14ac:dyDescent="0.15">
      <c r="U266" s="3"/>
      <c r="V266" s="3"/>
    </row>
    <row r="267" spans="21:22" ht="13" x14ac:dyDescent="0.15">
      <c r="U267" s="3"/>
      <c r="V267" s="3"/>
    </row>
    <row r="268" spans="21:22" ht="13" x14ac:dyDescent="0.15">
      <c r="U268" s="3"/>
      <c r="V268" s="3"/>
    </row>
    <row r="269" spans="21:22" ht="13" x14ac:dyDescent="0.15">
      <c r="U269" s="3"/>
      <c r="V269" s="3"/>
    </row>
    <row r="270" spans="21:22" ht="13" x14ac:dyDescent="0.15">
      <c r="U270" s="3"/>
      <c r="V270" s="3"/>
    </row>
    <row r="271" spans="21:22" ht="13" x14ac:dyDescent="0.15">
      <c r="U271" s="3"/>
      <c r="V271" s="3"/>
    </row>
    <row r="272" spans="21:22" ht="13" x14ac:dyDescent="0.15">
      <c r="U272" s="3"/>
      <c r="V272" s="3"/>
    </row>
    <row r="273" spans="21:22" ht="13" x14ac:dyDescent="0.15">
      <c r="U273" s="3"/>
      <c r="V273" s="3"/>
    </row>
    <row r="274" spans="21:22" ht="13" x14ac:dyDescent="0.15">
      <c r="U274" s="3"/>
      <c r="V274" s="3"/>
    </row>
    <row r="275" spans="21:22" ht="13" x14ac:dyDescent="0.15">
      <c r="U275" s="3"/>
      <c r="V275" s="3"/>
    </row>
    <row r="276" spans="21:22" ht="13" x14ac:dyDescent="0.15">
      <c r="U276" s="3"/>
      <c r="V276" s="3"/>
    </row>
    <row r="277" spans="21:22" ht="13" x14ac:dyDescent="0.15">
      <c r="U277" s="3"/>
      <c r="V277" s="3"/>
    </row>
    <row r="278" spans="21:22" ht="13" x14ac:dyDescent="0.15">
      <c r="U278" s="3"/>
      <c r="V278" s="3"/>
    </row>
    <row r="279" spans="21:22" ht="13" x14ac:dyDescent="0.15">
      <c r="U279" s="3"/>
      <c r="V279" s="3"/>
    </row>
    <row r="280" spans="21:22" ht="13" x14ac:dyDescent="0.15">
      <c r="U280" s="3"/>
      <c r="V280" s="3"/>
    </row>
    <row r="281" spans="21:22" ht="13" x14ac:dyDescent="0.15">
      <c r="U281" s="3"/>
      <c r="V281" s="3"/>
    </row>
    <row r="282" spans="21:22" ht="13" x14ac:dyDescent="0.15">
      <c r="U282" s="3"/>
      <c r="V282" s="3"/>
    </row>
    <row r="283" spans="21:22" ht="13" x14ac:dyDescent="0.15">
      <c r="U283" s="3"/>
      <c r="V283" s="3"/>
    </row>
    <row r="284" spans="21:22" ht="13" x14ac:dyDescent="0.15">
      <c r="U284" s="3"/>
      <c r="V284" s="3"/>
    </row>
    <row r="285" spans="21:22" ht="13" x14ac:dyDescent="0.15">
      <c r="U285" s="3"/>
      <c r="V285" s="3"/>
    </row>
    <row r="286" spans="21:22" ht="13" x14ac:dyDescent="0.15">
      <c r="U286" s="3"/>
      <c r="V286" s="3"/>
    </row>
    <row r="287" spans="21:22" ht="13" x14ac:dyDescent="0.15">
      <c r="U287" s="3"/>
      <c r="V287" s="3"/>
    </row>
    <row r="288" spans="21:22" ht="13" x14ac:dyDescent="0.15">
      <c r="U288" s="3"/>
      <c r="V288" s="3"/>
    </row>
    <row r="289" spans="21:22" ht="13" x14ac:dyDescent="0.15">
      <c r="U289" s="3"/>
      <c r="V289" s="3"/>
    </row>
    <row r="290" spans="21:22" ht="13" x14ac:dyDescent="0.15">
      <c r="U290" s="3"/>
      <c r="V290" s="3"/>
    </row>
    <row r="291" spans="21:22" ht="13" x14ac:dyDescent="0.15">
      <c r="U291" s="3"/>
      <c r="V291" s="3"/>
    </row>
    <row r="292" spans="21:22" ht="13" x14ac:dyDescent="0.15">
      <c r="U292" s="3"/>
      <c r="V292" s="3"/>
    </row>
    <row r="293" spans="21:22" ht="13" x14ac:dyDescent="0.15">
      <c r="U293" s="3"/>
      <c r="V293" s="3"/>
    </row>
    <row r="294" spans="21:22" ht="13" x14ac:dyDescent="0.15">
      <c r="U294" s="3"/>
      <c r="V294" s="3"/>
    </row>
    <row r="295" spans="21:22" ht="13" x14ac:dyDescent="0.15">
      <c r="U295" s="3"/>
      <c r="V295" s="3"/>
    </row>
    <row r="296" spans="21:22" ht="13" x14ac:dyDescent="0.15">
      <c r="U296" s="3"/>
      <c r="V296" s="3"/>
    </row>
    <row r="297" spans="21:22" ht="13" x14ac:dyDescent="0.15">
      <c r="U297" s="3"/>
      <c r="V297" s="3"/>
    </row>
    <row r="298" spans="21:22" ht="13" x14ac:dyDescent="0.15">
      <c r="U298" s="3"/>
      <c r="V298" s="3"/>
    </row>
    <row r="299" spans="21:22" ht="13" x14ac:dyDescent="0.15">
      <c r="U299" s="3"/>
      <c r="V299" s="3"/>
    </row>
    <row r="300" spans="21:22" ht="13" x14ac:dyDescent="0.15">
      <c r="U300" s="3"/>
      <c r="V300" s="3"/>
    </row>
    <row r="301" spans="21:22" ht="13" x14ac:dyDescent="0.15">
      <c r="U301" s="3"/>
      <c r="V301" s="3"/>
    </row>
    <row r="302" spans="21:22" ht="13" x14ac:dyDescent="0.15">
      <c r="U302" s="3"/>
      <c r="V302" s="3"/>
    </row>
    <row r="303" spans="21:22" ht="13" x14ac:dyDescent="0.15">
      <c r="U303" s="3"/>
      <c r="V303" s="3"/>
    </row>
    <row r="304" spans="21:22" ht="13" x14ac:dyDescent="0.15">
      <c r="U304" s="3"/>
      <c r="V304" s="3"/>
    </row>
    <row r="305" spans="21:22" ht="13" x14ac:dyDescent="0.15">
      <c r="U305" s="3"/>
      <c r="V305" s="3"/>
    </row>
    <row r="306" spans="21:22" ht="13" x14ac:dyDescent="0.15">
      <c r="U306" s="3"/>
      <c r="V306" s="3"/>
    </row>
    <row r="307" spans="21:22" ht="13" x14ac:dyDescent="0.15">
      <c r="U307" s="3"/>
      <c r="V307" s="3"/>
    </row>
    <row r="308" spans="21:22" ht="13" x14ac:dyDescent="0.15">
      <c r="U308" s="3"/>
      <c r="V308" s="3"/>
    </row>
    <row r="309" spans="21:22" ht="13" x14ac:dyDescent="0.15">
      <c r="U309" s="3"/>
      <c r="V309" s="3"/>
    </row>
    <row r="310" spans="21:22" ht="13" x14ac:dyDescent="0.15">
      <c r="U310" s="3"/>
      <c r="V310" s="3"/>
    </row>
    <row r="311" spans="21:22" ht="13" x14ac:dyDescent="0.15">
      <c r="U311" s="3"/>
      <c r="V311" s="3"/>
    </row>
    <row r="312" spans="21:22" ht="13" x14ac:dyDescent="0.15">
      <c r="U312" s="3"/>
      <c r="V312" s="3"/>
    </row>
    <row r="313" spans="21:22" ht="13" x14ac:dyDescent="0.15">
      <c r="U313" s="3"/>
      <c r="V313" s="3"/>
    </row>
    <row r="314" spans="21:22" ht="13" x14ac:dyDescent="0.15">
      <c r="U314" s="3"/>
      <c r="V314" s="3"/>
    </row>
    <row r="315" spans="21:22" ht="13" x14ac:dyDescent="0.15">
      <c r="U315" s="3"/>
      <c r="V315" s="3"/>
    </row>
    <row r="316" spans="21:22" ht="13" x14ac:dyDescent="0.15">
      <c r="U316" s="3"/>
      <c r="V316" s="3"/>
    </row>
    <row r="317" spans="21:22" ht="13" x14ac:dyDescent="0.15">
      <c r="U317" s="3"/>
      <c r="V317" s="3"/>
    </row>
    <row r="318" spans="21:22" ht="13" x14ac:dyDescent="0.15">
      <c r="U318" s="3"/>
      <c r="V318" s="3"/>
    </row>
    <row r="319" spans="21:22" ht="13" x14ac:dyDescent="0.15">
      <c r="U319" s="3"/>
      <c r="V319" s="3"/>
    </row>
    <row r="320" spans="21:22" ht="13" x14ac:dyDescent="0.15">
      <c r="U320" s="3"/>
      <c r="V320" s="3"/>
    </row>
    <row r="321" spans="21:22" ht="13" x14ac:dyDescent="0.15">
      <c r="U321" s="3"/>
      <c r="V321" s="3"/>
    </row>
    <row r="322" spans="21:22" ht="13" x14ac:dyDescent="0.15">
      <c r="U322" s="3"/>
      <c r="V322" s="3"/>
    </row>
    <row r="323" spans="21:22" ht="13" x14ac:dyDescent="0.15">
      <c r="U323" s="3"/>
      <c r="V323" s="3"/>
    </row>
    <row r="324" spans="21:22" ht="13" x14ac:dyDescent="0.15">
      <c r="U324" s="3"/>
      <c r="V324" s="3"/>
    </row>
    <row r="325" spans="21:22" ht="13" x14ac:dyDescent="0.15">
      <c r="U325" s="3"/>
      <c r="V325" s="3"/>
    </row>
    <row r="326" spans="21:22" ht="13" x14ac:dyDescent="0.15">
      <c r="U326" s="3"/>
      <c r="V326" s="3"/>
    </row>
    <row r="327" spans="21:22" ht="13" x14ac:dyDescent="0.15">
      <c r="U327" s="3"/>
      <c r="V327" s="3"/>
    </row>
    <row r="328" spans="21:22" ht="13" x14ac:dyDescent="0.15">
      <c r="U328" s="3"/>
      <c r="V328" s="3"/>
    </row>
    <row r="329" spans="21:22" ht="13" x14ac:dyDescent="0.15">
      <c r="U329" s="3"/>
      <c r="V329" s="3"/>
    </row>
    <row r="330" spans="21:22" ht="13" x14ac:dyDescent="0.15">
      <c r="U330" s="3"/>
      <c r="V330" s="3"/>
    </row>
    <row r="331" spans="21:22" ht="13" x14ac:dyDescent="0.15">
      <c r="U331" s="3"/>
      <c r="V331" s="3"/>
    </row>
    <row r="332" spans="21:22" ht="13" x14ac:dyDescent="0.15">
      <c r="U332" s="3"/>
      <c r="V332" s="3"/>
    </row>
    <row r="333" spans="21:22" ht="13" x14ac:dyDescent="0.15">
      <c r="U333" s="3"/>
      <c r="V333" s="3"/>
    </row>
    <row r="334" spans="21:22" ht="13" x14ac:dyDescent="0.15">
      <c r="U334" s="3"/>
      <c r="V334" s="3"/>
    </row>
    <row r="335" spans="21:22" ht="13" x14ac:dyDescent="0.15">
      <c r="U335" s="3"/>
      <c r="V335" s="3"/>
    </row>
    <row r="336" spans="21:22" ht="13" x14ac:dyDescent="0.15">
      <c r="U336" s="3"/>
      <c r="V336" s="3"/>
    </row>
    <row r="337" spans="21:22" ht="13" x14ac:dyDescent="0.15">
      <c r="U337" s="3"/>
      <c r="V337" s="3"/>
    </row>
    <row r="338" spans="21:22" ht="13" x14ac:dyDescent="0.15">
      <c r="U338" s="3"/>
      <c r="V338" s="3"/>
    </row>
    <row r="339" spans="21:22" ht="13" x14ac:dyDescent="0.15">
      <c r="U339" s="3"/>
      <c r="V339" s="3"/>
    </row>
    <row r="340" spans="21:22" ht="13" x14ac:dyDescent="0.15">
      <c r="U340" s="3"/>
      <c r="V340" s="3"/>
    </row>
    <row r="341" spans="21:22" ht="13" x14ac:dyDescent="0.15">
      <c r="U341" s="3"/>
      <c r="V341" s="3"/>
    </row>
    <row r="342" spans="21:22" ht="13" x14ac:dyDescent="0.15">
      <c r="U342" s="3"/>
      <c r="V342" s="3"/>
    </row>
    <row r="343" spans="21:22" ht="13" x14ac:dyDescent="0.15">
      <c r="U343" s="3"/>
      <c r="V343" s="3"/>
    </row>
    <row r="344" spans="21:22" ht="13" x14ac:dyDescent="0.15">
      <c r="U344" s="3"/>
      <c r="V344" s="3"/>
    </row>
    <row r="345" spans="21:22" ht="13" x14ac:dyDescent="0.15">
      <c r="U345" s="3"/>
      <c r="V345" s="3"/>
    </row>
    <row r="346" spans="21:22" ht="13" x14ac:dyDescent="0.15">
      <c r="U346" s="3"/>
      <c r="V346" s="3"/>
    </row>
    <row r="347" spans="21:22" ht="13" x14ac:dyDescent="0.15">
      <c r="U347" s="3"/>
      <c r="V347" s="3"/>
    </row>
    <row r="348" spans="21:22" ht="13" x14ac:dyDescent="0.15">
      <c r="U348" s="3"/>
      <c r="V348" s="3"/>
    </row>
    <row r="349" spans="21:22" ht="13" x14ac:dyDescent="0.15">
      <c r="U349" s="3"/>
      <c r="V349" s="3"/>
    </row>
    <row r="350" spans="21:22" ht="13" x14ac:dyDescent="0.15">
      <c r="U350" s="3"/>
      <c r="V350" s="3"/>
    </row>
    <row r="351" spans="21:22" ht="13" x14ac:dyDescent="0.15">
      <c r="U351" s="3"/>
      <c r="V351" s="3"/>
    </row>
    <row r="352" spans="21:22" ht="13" x14ac:dyDescent="0.15">
      <c r="U352" s="3"/>
      <c r="V352" s="3"/>
    </row>
    <row r="353" spans="21:22" ht="13" x14ac:dyDescent="0.15">
      <c r="U353" s="3"/>
      <c r="V353" s="3"/>
    </row>
    <row r="354" spans="21:22" ht="13" x14ac:dyDescent="0.15">
      <c r="U354" s="3"/>
      <c r="V354" s="3"/>
    </row>
    <row r="355" spans="21:22" ht="13" x14ac:dyDescent="0.15">
      <c r="U355" s="3"/>
      <c r="V355" s="3"/>
    </row>
    <row r="356" spans="21:22" ht="13" x14ac:dyDescent="0.15">
      <c r="U356" s="3"/>
      <c r="V356" s="3"/>
    </row>
    <row r="357" spans="21:22" ht="13" x14ac:dyDescent="0.15">
      <c r="U357" s="3"/>
      <c r="V357" s="3"/>
    </row>
    <row r="358" spans="21:22" ht="13" x14ac:dyDescent="0.15">
      <c r="U358" s="3"/>
      <c r="V358" s="3"/>
    </row>
    <row r="359" spans="21:22" ht="13" x14ac:dyDescent="0.15">
      <c r="U359" s="3"/>
      <c r="V359" s="3"/>
    </row>
    <row r="360" spans="21:22" ht="13" x14ac:dyDescent="0.15">
      <c r="U360" s="3"/>
      <c r="V360" s="3"/>
    </row>
    <row r="361" spans="21:22" ht="13" x14ac:dyDescent="0.15">
      <c r="U361" s="3"/>
      <c r="V361" s="3"/>
    </row>
    <row r="362" spans="21:22" ht="13" x14ac:dyDescent="0.15">
      <c r="U362" s="3"/>
      <c r="V362" s="3"/>
    </row>
    <row r="363" spans="21:22" ht="13" x14ac:dyDescent="0.15">
      <c r="U363" s="3"/>
      <c r="V363" s="3"/>
    </row>
    <row r="364" spans="21:22" ht="13" x14ac:dyDescent="0.15">
      <c r="U364" s="3"/>
      <c r="V364" s="3"/>
    </row>
    <row r="365" spans="21:22" ht="13" x14ac:dyDescent="0.15">
      <c r="U365" s="3"/>
      <c r="V365" s="3"/>
    </row>
    <row r="366" spans="21:22" ht="13" x14ac:dyDescent="0.15">
      <c r="U366" s="3"/>
      <c r="V366" s="3"/>
    </row>
    <row r="367" spans="21:22" ht="13" x14ac:dyDescent="0.15">
      <c r="U367" s="3"/>
      <c r="V367" s="3"/>
    </row>
    <row r="368" spans="21:22" ht="13" x14ac:dyDescent="0.15">
      <c r="U368" s="3"/>
      <c r="V368" s="3"/>
    </row>
    <row r="369" spans="21:22" ht="13" x14ac:dyDescent="0.15">
      <c r="U369" s="3"/>
      <c r="V369" s="3"/>
    </row>
    <row r="370" spans="21:22" ht="13" x14ac:dyDescent="0.15">
      <c r="U370" s="3"/>
      <c r="V370" s="3"/>
    </row>
    <row r="371" spans="21:22" ht="13" x14ac:dyDescent="0.15">
      <c r="U371" s="3"/>
      <c r="V371" s="3"/>
    </row>
    <row r="372" spans="21:22" ht="13" x14ac:dyDescent="0.15">
      <c r="U372" s="3"/>
      <c r="V372" s="3"/>
    </row>
    <row r="373" spans="21:22" ht="13" x14ac:dyDescent="0.15">
      <c r="U373" s="3"/>
      <c r="V373" s="3"/>
    </row>
    <row r="374" spans="21:22" ht="13" x14ac:dyDescent="0.15">
      <c r="U374" s="3"/>
      <c r="V374" s="3"/>
    </row>
    <row r="375" spans="21:22" ht="13" x14ac:dyDescent="0.15">
      <c r="U375" s="3"/>
      <c r="V375" s="3"/>
    </row>
    <row r="376" spans="21:22" ht="13" x14ac:dyDescent="0.15">
      <c r="U376" s="3"/>
      <c r="V376" s="3"/>
    </row>
    <row r="377" spans="21:22" ht="13" x14ac:dyDescent="0.15">
      <c r="U377" s="3"/>
      <c r="V377" s="3"/>
    </row>
    <row r="378" spans="21:22" ht="13" x14ac:dyDescent="0.15">
      <c r="U378" s="3"/>
      <c r="V378" s="3"/>
    </row>
    <row r="379" spans="21:22" ht="13" x14ac:dyDescent="0.15">
      <c r="U379" s="3"/>
      <c r="V379" s="3"/>
    </row>
    <row r="380" spans="21:22" ht="13" x14ac:dyDescent="0.15">
      <c r="U380" s="3"/>
      <c r="V380" s="3"/>
    </row>
    <row r="381" spans="21:22" ht="13" x14ac:dyDescent="0.15">
      <c r="U381" s="3"/>
      <c r="V381" s="3"/>
    </row>
    <row r="382" spans="21:22" ht="13" x14ac:dyDescent="0.15">
      <c r="U382" s="3"/>
      <c r="V382" s="3"/>
    </row>
    <row r="383" spans="21:22" ht="13" x14ac:dyDescent="0.15">
      <c r="U383" s="3"/>
      <c r="V383" s="3"/>
    </row>
    <row r="384" spans="21:22" ht="13" x14ac:dyDescent="0.15">
      <c r="U384" s="3"/>
      <c r="V384" s="3"/>
    </row>
    <row r="385" spans="21:22" ht="13" x14ac:dyDescent="0.15">
      <c r="U385" s="3"/>
      <c r="V385" s="3"/>
    </row>
    <row r="386" spans="21:22" ht="13" x14ac:dyDescent="0.15">
      <c r="U386" s="3"/>
      <c r="V386" s="3"/>
    </row>
    <row r="387" spans="21:22" ht="13" x14ac:dyDescent="0.15">
      <c r="U387" s="3"/>
      <c r="V387" s="3"/>
    </row>
    <row r="388" spans="21:22" ht="13" x14ac:dyDescent="0.15">
      <c r="U388" s="3"/>
      <c r="V388" s="3"/>
    </row>
    <row r="389" spans="21:22" ht="13" x14ac:dyDescent="0.15">
      <c r="U389" s="3"/>
      <c r="V389" s="3"/>
    </row>
    <row r="390" spans="21:22" ht="13" x14ac:dyDescent="0.15">
      <c r="U390" s="3"/>
      <c r="V390" s="3"/>
    </row>
    <row r="391" spans="21:22" ht="13" x14ac:dyDescent="0.15">
      <c r="U391" s="3"/>
      <c r="V391" s="3"/>
    </row>
    <row r="392" spans="21:22" ht="13" x14ac:dyDescent="0.15">
      <c r="U392" s="3"/>
      <c r="V392" s="3"/>
    </row>
    <row r="393" spans="21:22" ht="13" x14ac:dyDescent="0.15">
      <c r="U393" s="3"/>
      <c r="V393" s="3"/>
    </row>
    <row r="394" spans="21:22" ht="13" x14ac:dyDescent="0.15">
      <c r="U394" s="3"/>
      <c r="V394" s="3"/>
    </row>
    <row r="395" spans="21:22" ht="13" x14ac:dyDescent="0.15">
      <c r="U395" s="3"/>
      <c r="V395" s="3"/>
    </row>
    <row r="396" spans="21:22" ht="13" x14ac:dyDescent="0.15">
      <c r="U396" s="3"/>
      <c r="V396" s="3"/>
    </row>
    <row r="397" spans="21:22" ht="13" x14ac:dyDescent="0.15">
      <c r="U397" s="3"/>
      <c r="V397" s="3"/>
    </row>
    <row r="398" spans="21:22" ht="13" x14ac:dyDescent="0.15">
      <c r="U398" s="3"/>
      <c r="V398" s="3"/>
    </row>
    <row r="399" spans="21:22" ht="13" x14ac:dyDescent="0.15">
      <c r="U399" s="3"/>
      <c r="V399" s="3"/>
    </row>
    <row r="400" spans="21:22" ht="13" x14ac:dyDescent="0.15">
      <c r="U400" s="3"/>
      <c r="V400" s="3"/>
    </row>
    <row r="401" spans="21:22" ht="13" x14ac:dyDescent="0.15">
      <c r="U401" s="3"/>
      <c r="V401" s="3"/>
    </row>
    <row r="402" spans="21:22" ht="13" x14ac:dyDescent="0.15">
      <c r="U402" s="3"/>
      <c r="V402" s="3"/>
    </row>
    <row r="403" spans="21:22" ht="13" x14ac:dyDescent="0.15">
      <c r="U403" s="3"/>
      <c r="V403" s="3"/>
    </row>
    <row r="404" spans="21:22" ht="13" x14ac:dyDescent="0.15">
      <c r="U404" s="3"/>
      <c r="V404" s="3"/>
    </row>
    <row r="405" spans="21:22" ht="13" x14ac:dyDescent="0.15">
      <c r="U405" s="3"/>
      <c r="V405" s="3"/>
    </row>
    <row r="406" spans="21:22" ht="13" x14ac:dyDescent="0.15">
      <c r="U406" s="3"/>
      <c r="V406" s="3"/>
    </row>
    <row r="407" spans="21:22" ht="13" x14ac:dyDescent="0.15">
      <c r="U407" s="3"/>
      <c r="V407" s="3"/>
    </row>
    <row r="408" spans="21:22" ht="13" x14ac:dyDescent="0.15">
      <c r="U408" s="3"/>
      <c r="V408" s="3"/>
    </row>
    <row r="409" spans="21:22" ht="13" x14ac:dyDescent="0.15">
      <c r="U409" s="3"/>
      <c r="V409" s="3"/>
    </row>
    <row r="410" spans="21:22" ht="13" x14ac:dyDescent="0.15">
      <c r="U410" s="3"/>
      <c r="V410" s="3"/>
    </row>
    <row r="411" spans="21:22" ht="13" x14ac:dyDescent="0.15">
      <c r="U411" s="3"/>
      <c r="V411" s="3"/>
    </row>
    <row r="412" spans="21:22" ht="13" x14ac:dyDescent="0.15">
      <c r="U412" s="3"/>
      <c r="V412" s="3"/>
    </row>
    <row r="413" spans="21:22" ht="13" x14ac:dyDescent="0.15">
      <c r="U413" s="3"/>
      <c r="V413" s="3"/>
    </row>
    <row r="414" spans="21:22" ht="13" x14ac:dyDescent="0.15">
      <c r="U414" s="3"/>
      <c r="V414" s="3"/>
    </row>
    <row r="415" spans="21:22" ht="13" x14ac:dyDescent="0.15">
      <c r="U415" s="3"/>
      <c r="V415" s="3"/>
    </row>
    <row r="416" spans="21:22" ht="13" x14ac:dyDescent="0.15">
      <c r="U416" s="3"/>
      <c r="V416" s="3"/>
    </row>
    <row r="417" spans="21:22" ht="13" x14ac:dyDescent="0.15">
      <c r="U417" s="3"/>
      <c r="V417" s="3"/>
    </row>
    <row r="418" spans="21:22" ht="13" x14ac:dyDescent="0.15">
      <c r="U418" s="3"/>
      <c r="V418" s="3"/>
    </row>
    <row r="419" spans="21:22" ht="13" x14ac:dyDescent="0.15">
      <c r="U419" s="3"/>
      <c r="V419" s="3"/>
    </row>
    <row r="420" spans="21:22" ht="13" x14ac:dyDescent="0.15">
      <c r="U420" s="3"/>
      <c r="V420" s="3"/>
    </row>
    <row r="421" spans="21:22" ht="13" x14ac:dyDescent="0.15">
      <c r="U421" s="3"/>
      <c r="V421" s="3"/>
    </row>
    <row r="422" spans="21:22" ht="13" x14ac:dyDescent="0.15">
      <c r="U422" s="3"/>
      <c r="V422" s="3"/>
    </row>
    <row r="423" spans="21:22" ht="13" x14ac:dyDescent="0.15">
      <c r="U423" s="3"/>
      <c r="V423" s="3"/>
    </row>
    <row r="424" spans="21:22" ht="13" x14ac:dyDescent="0.15">
      <c r="U424" s="3"/>
      <c r="V424" s="3"/>
    </row>
    <row r="425" spans="21:22" ht="13" x14ac:dyDescent="0.15">
      <c r="U425" s="3"/>
      <c r="V425" s="3"/>
    </row>
    <row r="426" spans="21:22" ht="13" x14ac:dyDescent="0.15">
      <c r="U426" s="3"/>
      <c r="V426" s="3"/>
    </row>
    <row r="427" spans="21:22" ht="13" x14ac:dyDescent="0.15">
      <c r="U427" s="3"/>
      <c r="V427" s="3"/>
    </row>
    <row r="428" spans="21:22" ht="13" x14ac:dyDescent="0.15">
      <c r="U428" s="3"/>
      <c r="V428" s="3"/>
    </row>
    <row r="429" spans="21:22" ht="13" x14ac:dyDescent="0.15">
      <c r="U429" s="3"/>
      <c r="V429" s="3"/>
    </row>
    <row r="430" spans="21:22" ht="13" x14ac:dyDescent="0.15">
      <c r="U430" s="3"/>
      <c r="V430" s="3"/>
    </row>
    <row r="431" spans="21:22" ht="13" x14ac:dyDescent="0.15">
      <c r="U431" s="3"/>
      <c r="V431" s="3"/>
    </row>
    <row r="432" spans="21:22" ht="13" x14ac:dyDescent="0.15">
      <c r="U432" s="3"/>
      <c r="V432" s="3"/>
    </row>
    <row r="433" spans="21:22" ht="13" x14ac:dyDescent="0.15">
      <c r="U433" s="3"/>
      <c r="V433" s="3"/>
    </row>
    <row r="434" spans="21:22" ht="13" x14ac:dyDescent="0.15">
      <c r="U434" s="3"/>
      <c r="V434" s="3"/>
    </row>
    <row r="435" spans="21:22" ht="13" x14ac:dyDescent="0.15">
      <c r="U435" s="3"/>
      <c r="V435" s="3"/>
    </row>
    <row r="436" spans="21:22" ht="13" x14ac:dyDescent="0.15">
      <c r="U436" s="3"/>
      <c r="V436" s="3"/>
    </row>
    <row r="437" spans="21:22" ht="13" x14ac:dyDescent="0.15">
      <c r="U437" s="3"/>
      <c r="V437" s="3"/>
    </row>
    <row r="438" spans="21:22" ht="13" x14ac:dyDescent="0.15">
      <c r="U438" s="3"/>
      <c r="V438" s="3"/>
    </row>
    <row r="439" spans="21:22" ht="13" x14ac:dyDescent="0.15">
      <c r="U439" s="3"/>
      <c r="V439" s="3"/>
    </row>
    <row r="440" spans="21:22" ht="13" x14ac:dyDescent="0.15">
      <c r="U440" s="3"/>
      <c r="V440" s="3"/>
    </row>
    <row r="441" spans="21:22" ht="13" x14ac:dyDescent="0.15">
      <c r="U441" s="3"/>
      <c r="V441" s="3"/>
    </row>
    <row r="442" spans="21:22" ht="13" x14ac:dyDescent="0.15">
      <c r="U442" s="3"/>
      <c r="V442" s="3"/>
    </row>
    <row r="443" spans="21:22" ht="13" x14ac:dyDescent="0.15">
      <c r="U443" s="3"/>
      <c r="V443" s="3"/>
    </row>
    <row r="444" spans="21:22" ht="13" x14ac:dyDescent="0.15">
      <c r="U444" s="3"/>
      <c r="V444" s="3"/>
    </row>
    <row r="445" spans="21:22" ht="13" x14ac:dyDescent="0.15">
      <c r="U445" s="3"/>
      <c r="V445" s="3"/>
    </row>
    <row r="446" spans="21:22" ht="13" x14ac:dyDescent="0.15">
      <c r="U446" s="3"/>
      <c r="V446" s="3"/>
    </row>
    <row r="447" spans="21:22" ht="13" x14ac:dyDescent="0.15">
      <c r="U447" s="3"/>
      <c r="V447" s="3"/>
    </row>
    <row r="448" spans="21:22" ht="13" x14ac:dyDescent="0.15">
      <c r="U448" s="3"/>
      <c r="V448" s="3"/>
    </row>
    <row r="449" spans="21:22" ht="13" x14ac:dyDescent="0.15">
      <c r="U449" s="3"/>
      <c r="V449" s="3"/>
    </row>
    <row r="450" spans="21:22" ht="13" x14ac:dyDescent="0.15">
      <c r="U450" s="3"/>
      <c r="V450" s="3"/>
    </row>
    <row r="451" spans="21:22" ht="13" x14ac:dyDescent="0.15">
      <c r="U451" s="3"/>
      <c r="V451" s="3"/>
    </row>
    <row r="452" spans="21:22" ht="13" x14ac:dyDescent="0.15">
      <c r="U452" s="3"/>
      <c r="V452" s="3"/>
    </row>
    <row r="453" spans="21:22" ht="13" x14ac:dyDescent="0.15">
      <c r="U453" s="3"/>
      <c r="V453" s="3"/>
    </row>
    <row r="454" spans="21:22" ht="13" x14ac:dyDescent="0.15">
      <c r="U454" s="3"/>
      <c r="V454" s="3"/>
    </row>
    <row r="455" spans="21:22" ht="13" x14ac:dyDescent="0.15">
      <c r="U455" s="3"/>
      <c r="V455" s="3"/>
    </row>
    <row r="456" spans="21:22" ht="13" x14ac:dyDescent="0.15">
      <c r="U456" s="3"/>
      <c r="V456" s="3"/>
    </row>
    <row r="457" spans="21:22" ht="13" x14ac:dyDescent="0.15">
      <c r="U457" s="3"/>
      <c r="V457" s="3"/>
    </row>
    <row r="458" spans="21:22" ht="13" x14ac:dyDescent="0.15">
      <c r="U458" s="3"/>
      <c r="V458" s="3"/>
    </row>
    <row r="459" spans="21:22" ht="13" x14ac:dyDescent="0.15">
      <c r="U459" s="3"/>
      <c r="V459" s="3"/>
    </row>
    <row r="460" spans="21:22" ht="13" x14ac:dyDescent="0.15">
      <c r="U460" s="3"/>
      <c r="V460" s="3"/>
    </row>
    <row r="461" spans="21:22" ht="13" x14ac:dyDescent="0.15">
      <c r="U461" s="3"/>
      <c r="V461" s="3"/>
    </row>
    <row r="462" spans="21:22" ht="13" x14ac:dyDescent="0.15">
      <c r="U462" s="3"/>
      <c r="V462" s="3"/>
    </row>
    <row r="463" spans="21:22" ht="13" x14ac:dyDescent="0.15">
      <c r="U463" s="3"/>
      <c r="V463" s="3"/>
    </row>
    <row r="464" spans="21:22" ht="13" x14ac:dyDescent="0.15">
      <c r="U464" s="3"/>
      <c r="V464" s="3"/>
    </row>
    <row r="465" spans="21:22" ht="13" x14ac:dyDescent="0.15">
      <c r="U465" s="3"/>
      <c r="V465" s="3"/>
    </row>
    <row r="466" spans="21:22" ht="13" x14ac:dyDescent="0.15">
      <c r="U466" s="3"/>
      <c r="V466" s="3"/>
    </row>
    <row r="467" spans="21:22" ht="13" x14ac:dyDescent="0.15">
      <c r="U467" s="3"/>
      <c r="V467" s="3"/>
    </row>
    <row r="468" spans="21:22" ht="13" x14ac:dyDescent="0.15">
      <c r="U468" s="3"/>
      <c r="V468" s="3"/>
    </row>
    <row r="469" spans="21:22" ht="13" x14ac:dyDescent="0.15">
      <c r="U469" s="3"/>
      <c r="V469" s="3"/>
    </row>
    <row r="470" spans="21:22" ht="13" x14ac:dyDescent="0.15">
      <c r="U470" s="3"/>
      <c r="V470" s="3"/>
    </row>
    <row r="471" spans="21:22" ht="13" x14ac:dyDescent="0.15">
      <c r="U471" s="3"/>
      <c r="V471" s="3"/>
    </row>
    <row r="472" spans="21:22" ht="13" x14ac:dyDescent="0.15">
      <c r="U472" s="3"/>
      <c r="V472" s="3"/>
    </row>
    <row r="473" spans="21:22" ht="13" x14ac:dyDescent="0.15">
      <c r="U473" s="3"/>
      <c r="V473" s="3"/>
    </row>
    <row r="474" spans="21:22" ht="13" x14ac:dyDescent="0.15">
      <c r="U474" s="3"/>
      <c r="V474" s="3"/>
    </row>
    <row r="475" spans="21:22" ht="13" x14ac:dyDescent="0.15">
      <c r="U475" s="3"/>
      <c r="V475" s="3"/>
    </row>
    <row r="476" spans="21:22" ht="13" x14ac:dyDescent="0.15">
      <c r="U476" s="3"/>
      <c r="V476" s="3"/>
    </row>
    <row r="477" spans="21:22" ht="13" x14ac:dyDescent="0.15">
      <c r="U477" s="3"/>
      <c r="V477" s="3"/>
    </row>
    <row r="478" spans="21:22" ht="13" x14ac:dyDescent="0.15">
      <c r="U478" s="3"/>
      <c r="V478" s="3"/>
    </row>
    <row r="479" spans="21:22" ht="13" x14ac:dyDescent="0.15">
      <c r="U479" s="3"/>
      <c r="V479" s="3"/>
    </row>
    <row r="480" spans="21:22" ht="13" x14ac:dyDescent="0.15">
      <c r="U480" s="3"/>
      <c r="V480" s="3"/>
    </row>
    <row r="481" spans="21:22" ht="13" x14ac:dyDescent="0.15">
      <c r="U481" s="3"/>
      <c r="V481" s="3"/>
    </row>
    <row r="482" spans="21:22" ht="13" x14ac:dyDescent="0.15">
      <c r="U482" s="3"/>
      <c r="V482" s="3"/>
    </row>
    <row r="483" spans="21:22" ht="13" x14ac:dyDescent="0.15">
      <c r="U483" s="3"/>
      <c r="V483" s="3"/>
    </row>
    <row r="484" spans="21:22" ht="13" x14ac:dyDescent="0.15">
      <c r="U484" s="3"/>
      <c r="V484" s="3"/>
    </row>
    <row r="485" spans="21:22" ht="13" x14ac:dyDescent="0.15">
      <c r="U485" s="3"/>
      <c r="V485" s="3"/>
    </row>
    <row r="486" spans="21:22" ht="13" x14ac:dyDescent="0.15">
      <c r="U486" s="3"/>
      <c r="V486" s="3"/>
    </row>
    <row r="487" spans="21:22" ht="13" x14ac:dyDescent="0.15">
      <c r="U487" s="3"/>
      <c r="V487" s="3"/>
    </row>
    <row r="488" spans="21:22" ht="13" x14ac:dyDescent="0.15">
      <c r="U488" s="3"/>
      <c r="V488" s="3"/>
    </row>
    <row r="489" spans="21:22" ht="13" x14ac:dyDescent="0.15">
      <c r="U489" s="3"/>
      <c r="V489" s="3"/>
    </row>
    <row r="490" spans="21:22" ht="13" x14ac:dyDescent="0.15">
      <c r="U490" s="3"/>
      <c r="V490" s="3"/>
    </row>
    <row r="491" spans="21:22" ht="13" x14ac:dyDescent="0.15">
      <c r="U491" s="3"/>
      <c r="V491" s="3"/>
    </row>
    <row r="492" spans="21:22" ht="13" x14ac:dyDescent="0.15">
      <c r="U492" s="3"/>
      <c r="V492" s="3"/>
    </row>
    <row r="493" spans="21:22" ht="13" x14ac:dyDescent="0.15">
      <c r="U493" s="3"/>
      <c r="V493" s="3"/>
    </row>
    <row r="494" spans="21:22" ht="13" x14ac:dyDescent="0.15">
      <c r="U494" s="3"/>
      <c r="V494" s="3"/>
    </row>
    <row r="495" spans="21:22" ht="13" x14ac:dyDescent="0.15">
      <c r="U495" s="3"/>
      <c r="V495" s="3"/>
    </row>
    <row r="496" spans="21:22" ht="13" x14ac:dyDescent="0.15">
      <c r="U496" s="3"/>
      <c r="V496" s="3"/>
    </row>
    <row r="497" spans="21:22" ht="13" x14ac:dyDescent="0.15">
      <c r="U497" s="3"/>
      <c r="V497" s="3"/>
    </row>
    <row r="498" spans="21:22" ht="13" x14ac:dyDescent="0.15">
      <c r="U498" s="3"/>
      <c r="V498" s="3"/>
    </row>
    <row r="499" spans="21:22" ht="13" x14ac:dyDescent="0.15">
      <c r="U499" s="3"/>
      <c r="V499" s="3"/>
    </row>
    <row r="500" spans="21:22" ht="13" x14ac:dyDescent="0.15">
      <c r="U500" s="3"/>
      <c r="V500" s="3"/>
    </row>
    <row r="501" spans="21:22" ht="13" x14ac:dyDescent="0.15">
      <c r="U501" s="3"/>
      <c r="V501" s="3"/>
    </row>
    <row r="502" spans="21:22" ht="13" x14ac:dyDescent="0.15">
      <c r="U502" s="3"/>
      <c r="V502" s="3"/>
    </row>
    <row r="503" spans="21:22" ht="13" x14ac:dyDescent="0.15">
      <c r="U503" s="3"/>
      <c r="V503" s="3"/>
    </row>
    <row r="504" spans="21:22" ht="13" x14ac:dyDescent="0.15">
      <c r="U504" s="3"/>
      <c r="V504" s="3"/>
    </row>
    <row r="505" spans="21:22" ht="13" x14ac:dyDescent="0.15">
      <c r="U505" s="3"/>
      <c r="V505" s="3"/>
    </row>
    <row r="506" spans="21:22" ht="13" x14ac:dyDescent="0.15">
      <c r="U506" s="3"/>
      <c r="V506" s="3"/>
    </row>
    <row r="507" spans="21:22" ht="13" x14ac:dyDescent="0.15">
      <c r="U507" s="3"/>
      <c r="V507" s="3"/>
    </row>
    <row r="508" spans="21:22" ht="13" x14ac:dyDescent="0.15">
      <c r="U508" s="3"/>
      <c r="V508" s="3"/>
    </row>
    <row r="509" spans="21:22" ht="13" x14ac:dyDescent="0.15">
      <c r="U509" s="3"/>
      <c r="V509" s="3"/>
    </row>
    <row r="510" spans="21:22" ht="13" x14ac:dyDescent="0.15">
      <c r="U510" s="3"/>
      <c r="V510" s="3"/>
    </row>
    <row r="511" spans="21:22" ht="13" x14ac:dyDescent="0.15">
      <c r="U511" s="3"/>
      <c r="V511" s="3"/>
    </row>
    <row r="512" spans="21:22" ht="13" x14ac:dyDescent="0.15">
      <c r="U512" s="3"/>
      <c r="V512" s="3"/>
    </row>
    <row r="513" spans="21:22" ht="13" x14ac:dyDescent="0.15">
      <c r="U513" s="3"/>
      <c r="V513" s="3"/>
    </row>
    <row r="514" spans="21:22" ht="13" x14ac:dyDescent="0.15">
      <c r="U514" s="3"/>
      <c r="V514" s="3"/>
    </row>
    <row r="515" spans="21:22" ht="13" x14ac:dyDescent="0.15">
      <c r="U515" s="3"/>
      <c r="V515" s="3"/>
    </row>
    <row r="516" spans="21:22" ht="13" x14ac:dyDescent="0.15">
      <c r="U516" s="3"/>
      <c r="V516" s="3"/>
    </row>
    <row r="517" spans="21:22" ht="13" x14ac:dyDescent="0.15">
      <c r="U517" s="3"/>
      <c r="V517" s="3"/>
    </row>
    <row r="518" spans="21:22" ht="13" x14ac:dyDescent="0.15">
      <c r="U518" s="3"/>
      <c r="V518" s="3"/>
    </row>
    <row r="519" spans="21:22" ht="13" x14ac:dyDescent="0.15">
      <c r="U519" s="3"/>
      <c r="V519" s="3"/>
    </row>
    <row r="520" spans="21:22" ht="13" x14ac:dyDescent="0.15">
      <c r="U520" s="3"/>
      <c r="V520" s="3"/>
    </row>
    <row r="521" spans="21:22" ht="13" x14ac:dyDescent="0.15">
      <c r="U521" s="3"/>
      <c r="V521" s="3"/>
    </row>
    <row r="522" spans="21:22" ht="13" x14ac:dyDescent="0.15">
      <c r="U522" s="3"/>
      <c r="V522" s="3"/>
    </row>
    <row r="523" spans="21:22" ht="13" x14ac:dyDescent="0.15">
      <c r="U523" s="3"/>
      <c r="V523" s="3"/>
    </row>
    <row r="524" spans="21:22" ht="13" x14ac:dyDescent="0.15">
      <c r="U524" s="3"/>
      <c r="V524" s="3"/>
    </row>
    <row r="525" spans="21:22" ht="13" x14ac:dyDescent="0.15">
      <c r="U525" s="3"/>
      <c r="V525" s="3"/>
    </row>
    <row r="526" spans="21:22" ht="13" x14ac:dyDescent="0.15">
      <c r="U526" s="3"/>
      <c r="V526" s="3"/>
    </row>
    <row r="527" spans="21:22" ht="13" x14ac:dyDescent="0.15">
      <c r="U527" s="3"/>
      <c r="V527" s="3"/>
    </row>
    <row r="528" spans="21:22" ht="13" x14ac:dyDescent="0.15">
      <c r="U528" s="3"/>
      <c r="V528" s="3"/>
    </row>
    <row r="529" spans="21:22" ht="13" x14ac:dyDescent="0.15">
      <c r="U529" s="3"/>
      <c r="V529" s="3"/>
    </row>
    <row r="530" spans="21:22" ht="13" x14ac:dyDescent="0.15">
      <c r="U530" s="3"/>
      <c r="V530" s="3"/>
    </row>
    <row r="531" spans="21:22" ht="13" x14ac:dyDescent="0.15">
      <c r="U531" s="3"/>
      <c r="V531" s="3"/>
    </row>
    <row r="532" spans="21:22" ht="13" x14ac:dyDescent="0.15">
      <c r="U532" s="3"/>
      <c r="V532" s="3"/>
    </row>
    <row r="533" spans="21:22" ht="13" x14ac:dyDescent="0.15">
      <c r="U533" s="3"/>
      <c r="V533" s="3"/>
    </row>
    <row r="534" spans="21:22" ht="13" x14ac:dyDescent="0.15">
      <c r="U534" s="3"/>
      <c r="V534" s="3"/>
    </row>
    <row r="535" spans="21:22" ht="13" x14ac:dyDescent="0.15">
      <c r="U535" s="3"/>
      <c r="V535" s="3"/>
    </row>
    <row r="536" spans="21:22" ht="13" x14ac:dyDescent="0.15">
      <c r="U536" s="3"/>
      <c r="V536" s="3"/>
    </row>
    <row r="537" spans="21:22" ht="13" x14ac:dyDescent="0.15">
      <c r="U537" s="3"/>
      <c r="V537" s="3"/>
    </row>
    <row r="538" spans="21:22" ht="13" x14ac:dyDescent="0.15">
      <c r="U538" s="3"/>
      <c r="V538" s="3"/>
    </row>
    <row r="539" spans="21:22" ht="13" x14ac:dyDescent="0.15">
      <c r="U539" s="3"/>
      <c r="V539" s="3"/>
    </row>
    <row r="540" spans="21:22" ht="13" x14ac:dyDescent="0.15">
      <c r="U540" s="3"/>
      <c r="V540" s="3"/>
    </row>
    <row r="541" spans="21:22" ht="13" x14ac:dyDescent="0.15">
      <c r="U541" s="3"/>
      <c r="V541" s="3"/>
    </row>
    <row r="542" spans="21:22" ht="13" x14ac:dyDescent="0.15">
      <c r="U542" s="3"/>
      <c r="V542" s="3"/>
    </row>
    <row r="543" spans="21:22" ht="13" x14ac:dyDescent="0.15">
      <c r="U543" s="3"/>
      <c r="V543" s="3"/>
    </row>
    <row r="544" spans="21:22" ht="13" x14ac:dyDescent="0.15">
      <c r="U544" s="3"/>
      <c r="V544" s="3"/>
    </row>
    <row r="545" spans="21:22" ht="13" x14ac:dyDescent="0.15">
      <c r="U545" s="3"/>
      <c r="V545" s="3"/>
    </row>
    <row r="546" spans="21:22" ht="13" x14ac:dyDescent="0.15">
      <c r="U546" s="3"/>
      <c r="V546" s="3"/>
    </row>
    <row r="547" spans="21:22" ht="13" x14ac:dyDescent="0.15">
      <c r="U547" s="3"/>
      <c r="V547" s="3"/>
    </row>
    <row r="548" spans="21:22" ht="13" x14ac:dyDescent="0.15">
      <c r="U548" s="3"/>
      <c r="V548" s="3"/>
    </row>
    <row r="549" spans="21:22" ht="13" x14ac:dyDescent="0.15">
      <c r="U549" s="3"/>
      <c r="V549" s="3"/>
    </row>
    <row r="550" spans="21:22" ht="13" x14ac:dyDescent="0.15">
      <c r="U550" s="3"/>
      <c r="V550" s="3"/>
    </row>
    <row r="551" spans="21:22" ht="13" x14ac:dyDescent="0.15">
      <c r="U551" s="3"/>
      <c r="V551" s="3"/>
    </row>
    <row r="552" spans="21:22" ht="13" x14ac:dyDescent="0.15">
      <c r="U552" s="3"/>
      <c r="V552" s="3"/>
    </row>
    <row r="553" spans="21:22" ht="13" x14ac:dyDescent="0.15">
      <c r="U553" s="3"/>
      <c r="V553" s="3"/>
    </row>
    <row r="554" spans="21:22" ht="13" x14ac:dyDescent="0.15">
      <c r="U554" s="3"/>
      <c r="V554" s="3"/>
    </row>
    <row r="555" spans="21:22" ht="13" x14ac:dyDescent="0.15">
      <c r="U555" s="3"/>
      <c r="V555" s="3"/>
    </row>
    <row r="556" spans="21:22" ht="13" x14ac:dyDescent="0.15">
      <c r="U556" s="3"/>
      <c r="V556" s="3"/>
    </row>
    <row r="557" spans="21:22" ht="13" x14ac:dyDescent="0.15">
      <c r="U557" s="3"/>
      <c r="V557" s="3"/>
    </row>
    <row r="558" spans="21:22" ht="13" x14ac:dyDescent="0.15">
      <c r="U558" s="3"/>
      <c r="V558" s="3"/>
    </row>
    <row r="559" spans="21:22" ht="13" x14ac:dyDescent="0.15">
      <c r="U559" s="3"/>
      <c r="V559" s="3"/>
    </row>
    <row r="560" spans="21:22" ht="13" x14ac:dyDescent="0.15">
      <c r="U560" s="3"/>
      <c r="V560" s="3"/>
    </row>
    <row r="561" spans="21:22" ht="13" x14ac:dyDescent="0.15">
      <c r="U561" s="3"/>
      <c r="V561" s="3"/>
    </row>
    <row r="562" spans="21:22" ht="13" x14ac:dyDescent="0.15">
      <c r="U562" s="3"/>
      <c r="V562" s="3"/>
    </row>
    <row r="563" spans="21:22" ht="13" x14ac:dyDescent="0.15">
      <c r="U563" s="3"/>
      <c r="V563" s="3"/>
    </row>
    <row r="564" spans="21:22" ht="13" x14ac:dyDescent="0.15">
      <c r="U564" s="3"/>
      <c r="V564" s="3"/>
    </row>
    <row r="565" spans="21:22" ht="13" x14ac:dyDescent="0.15">
      <c r="U565" s="3"/>
      <c r="V565" s="3"/>
    </row>
    <row r="566" spans="21:22" ht="13" x14ac:dyDescent="0.15">
      <c r="U566" s="3"/>
      <c r="V566" s="3"/>
    </row>
    <row r="567" spans="21:22" ht="13" x14ac:dyDescent="0.15">
      <c r="U567" s="3"/>
      <c r="V567" s="3"/>
    </row>
    <row r="568" spans="21:22" ht="13" x14ac:dyDescent="0.15">
      <c r="U568" s="3"/>
      <c r="V568" s="3"/>
    </row>
    <row r="569" spans="21:22" ht="13" x14ac:dyDescent="0.15">
      <c r="U569" s="3"/>
      <c r="V569" s="3"/>
    </row>
    <row r="570" spans="21:22" ht="13" x14ac:dyDescent="0.15">
      <c r="U570" s="3"/>
      <c r="V570" s="3"/>
    </row>
    <row r="571" spans="21:22" ht="13" x14ac:dyDescent="0.15">
      <c r="U571" s="3"/>
      <c r="V571" s="3"/>
    </row>
    <row r="572" spans="21:22" ht="13" x14ac:dyDescent="0.15">
      <c r="U572" s="3"/>
      <c r="V572" s="3"/>
    </row>
    <row r="573" spans="21:22" ht="13" x14ac:dyDescent="0.15">
      <c r="U573" s="3"/>
      <c r="V573" s="3"/>
    </row>
    <row r="574" spans="21:22" ht="13" x14ac:dyDescent="0.15">
      <c r="U574" s="3"/>
      <c r="V574" s="3"/>
    </row>
    <row r="575" spans="21:22" ht="13" x14ac:dyDescent="0.15">
      <c r="U575" s="3"/>
      <c r="V575" s="3"/>
    </row>
    <row r="576" spans="21:22" ht="13" x14ac:dyDescent="0.15">
      <c r="U576" s="3"/>
      <c r="V576" s="3"/>
    </row>
    <row r="577" spans="21:22" ht="13" x14ac:dyDescent="0.15">
      <c r="U577" s="3"/>
      <c r="V577" s="3"/>
    </row>
    <row r="578" spans="21:22" ht="13" x14ac:dyDescent="0.15">
      <c r="U578" s="3"/>
      <c r="V578" s="3"/>
    </row>
    <row r="579" spans="21:22" ht="13" x14ac:dyDescent="0.15">
      <c r="U579" s="3"/>
      <c r="V579" s="3"/>
    </row>
    <row r="580" spans="21:22" ht="13" x14ac:dyDescent="0.15">
      <c r="U580" s="3"/>
      <c r="V580" s="3"/>
    </row>
    <row r="581" spans="21:22" ht="13" x14ac:dyDescent="0.15">
      <c r="U581" s="3"/>
      <c r="V581" s="3"/>
    </row>
    <row r="582" spans="21:22" ht="13" x14ac:dyDescent="0.15">
      <c r="U582" s="3"/>
      <c r="V582" s="3"/>
    </row>
    <row r="583" spans="21:22" ht="13" x14ac:dyDescent="0.15">
      <c r="U583" s="3"/>
      <c r="V583" s="3"/>
    </row>
    <row r="584" spans="21:22" ht="13" x14ac:dyDescent="0.15">
      <c r="U584" s="3"/>
      <c r="V584" s="3"/>
    </row>
    <row r="585" spans="21:22" ht="13" x14ac:dyDescent="0.15">
      <c r="U585" s="3"/>
      <c r="V585" s="3"/>
    </row>
    <row r="586" spans="21:22" ht="13" x14ac:dyDescent="0.15">
      <c r="U586" s="3"/>
      <c r="V586" s="3"/>
    </row>
    <row r="587" spans="21:22" ht="13" x14ac:dyDescent="0.15">
      <c r="U587" s="3"/>
      <c r="V587" s="3"/>
    </row>
    <row r="588" spans="21:22" ht="13" x14ac:dyDescent="0.15">
      <c r="U588" s="3"/>
      <c r="V588" s="3"/>
    </row>
    <row r="589" spans="21:22" ht="13" x14ac:dyDescent="0.15">
      <c r="U589" s="3"/>
      <c r="V589" s="3"/>
    </row>
    <row r="590" spans="21:22" ht="13" x14ac:dyDescent="0.15">
      <c r="U590" s="3"/>
      <c r="V590" s="3"/>
    </row>
    <row r="591" spans="21:22" ht="13" x14ac:dyDescent="0.15">
      <c r="U591" s="3"/>
      <c r="V591" s="3"/>
    </row>
    <row r="592" spans="21:22" ht="13" x14ac:dyDescent="0.15">
      <c r="U592" s="3"/>
      <c r="V592" s="3"/>
    </row>
    <row r="593" spans="21:22" ht="13" x14ac:dyDescent="0.15">
      <c r="U593" s="3"/>
      <c r="V593" s="3"/>
    </row>
    <row r="594" spans="21:22" ht="13" x14ac:dyDescent="0.15">
      <c r="U594" s="3"/>
      <c r="V594" s="3"/>
    </row>
    <row r="595" spans="21:22" ht="13" x14ac:dyDescent="0.15">
      <c r="U595" s="3"/>
      <c r="V595" s="3"/>
    </row>
    <row r="596" spans="21:22" ht="13" x14ac:dyDescent="0.15">
      <c r="U596" s="3"/>
      <c r="V596" s="3"/>
    </row>
    <row r="597" spans="21:22" ht="13" x14ac:dyDescent="0.15">
      <c r="U597" s="3"/>
      <c r="V597" s="3"/>
    </row>
    <row r="598" spans="21:22" ht="13" x14ac:dyDescent="0.15">
      <c r="U598" s="3"/>
      <c r="V598" s="3"/>
    </row>
    <row r="599" spans="21:22" ht="13" x14ac:dyDescent="0.15">
      <c r="U599" s="3"/>
      <c r="V599" s="3"/>
    </row>
    <row r="600" spans="21:22" ht="13" x14ac:dyDescent="0.15">
      <c r="U600" s="3"/>
      <c r="V600" s="3"/>
    </row>
    <row r="601" spans="21:22" ht="13" x14ac:dyDescent="0.15">
      <c r="U601" s="3"/>
      <c r="V601" s="3"/>
    </row>
    <row r="602" spans="21:22" ht="13" x14ac:dyDescent="0.15">
      <c r="U602" s="3"/>
      <c r="V602" s="3"/>
    </row>
    <row r="603" spans="21:22" ht="13" x14ac:dyDescent="0.15">
      <c r="U603" s="3"/>
      <c r="V603" s="3"/>
    </row>
    <row r="604" spans="21:22" ht="13" x14ac:dyDescent="0.15">
      <c r="U604" s="3"/>
      <c r="V604" s="3"/>
    </row>
    <row r="605" spans="21:22" ht="13" x14ac:dyDescent="0.15">
      <c r="U605" s="3"/>
      <c r="V605" s="3"/>
    </row>
    <row r="606" spans="21:22" ht="13" x14ac:dyDescent="0.15">
      <c r="U606" s="3"/>
      <c r="V606" s="3"/>
    </row>
    <row r="607" spans="21:22" ht="13" x14ac:dyDescent="0.15">
      <c r="U607" s="3"/>
      <c r="V607" s="3"/>
    </row>
    <row r="608" spans="21:22" ht="13" x14ac:dyDescent="0.15">
      <c r="U608" s="3"/>
      <c r="V608" s="3"/>
    </row>
    <row r="609" spans="21:22" ht="13" x14ac:dyDescent="0.15">
      <c r="U609" s="3"/>
      <c r="V609" s="3"/>
    </row>
    <row r="610" spans="21:22" ht="13" x14ac:dyDescent="0.15">
      <c r="U610" s="3"/>
      <c r="V610" s="3"/>
    </row>
    <row r="611" spans="21:22" ht="13" x14ac:dyDescent="0.15">
      <c r="U611" s="3"/>
      <c r="V611" s="3"/>
    </row>
    <row r="612" spans="21:22" ht="13" x14ac:dyDescent="0.15">
      <c r="U612" s="3"/>
      <c r="V612" s="3"/>
    </row>
    <row r="613" spans="21:22" ht="13" x14ac:dyDescent="0.15">
      <c r="U613" s="3"/>
      <c r="V613" s="3"/>
    </row>
    <row r="614" spans="21:22" ht="13" x14ac:dyDescent="0.15">
      <c r="U614" s="3"/>
      <c r="V614" s="3"/>
    </row>
    <row r="615" spans="21:22" ht="13" x14ac:dyDescent="0.15">
      <c r="U615" s="3"/>
      <c r="V615" s="3"/>
    </row>
    <row r="616" spans="21:22" ht="13" x14ac:dyDescent="0.15">
      <c r="U616" s="3"/>
      <c r="V616" s="3"/>
    </row>
    <row r="617" spans="21:22" ht="13" x14ac:dyDescent="0.15">
      <c r="U617" s="3"/>
      <c r="V617" s="3"/>
    </row>
    <row r="618" spans="21:22" ht="13" x14ac:dyDescent="0.15">
      <c r="U618" s="3"/>
      <c r="V618" s="3"/>
    </row>
    <row r="619" spans="21:22" ht="13" x14ac:dyDescent="0.15">
      <c r="U619" s="3"/>
      <c r="V619" s="3"/>
    </row>
    <row r="620" spans="21:22" ht="13" x14ac:dyDescent="0.15">
      <c r="U620" s="3"/>
      <c r="V620" s="3"/>
    </row>
    <row r="621" spans="21:22" ht="13" x14ac:dyDescent="0.15">
      <c r="U621" s="3"/>
      <c r="V621" s="3"/>
    </row>
    <row r="622" spans="21:22" ht="13" x14ac:dyDescent="0.15">
      <c r="U622" s="3"/>
      <c r="V622" s="3"/>
    </row>
    <row r="623" spans="21:22" ht="13" x14ac:dyDescent="0.15">
      <c r="U623" s="3"/>
      <c r="V623" s="3"/>
    </row>
    <row r="624" spans="21:22" ht="13" x14ac:dyDescent="0.15">
      <c r="U624" s="3"/>
      <c r="V624" s="3"/>
    </row>
    <row r="625" spans="21:22" ht="13" x14ac:dyDescent="0.15">
      <c r="U625" s="3"/>
      <c r="V625" s="3"/>
    </row>
    <row r="626" spans="21:22" ht="13" x14ac:dyDescent="0.15">
      <c r="U626" s="3"/>
      <c r="V626" s="3"/>
    </row>
    <row r="627" spans="21:22" ht="13" x14ac:dyDescent="0.15">
      <c r="U627" s="3"/>
      <c r="V627" s="3"/>
    </row>
    <row r="628" spans="21:22" ht="13" x14ac:dyDescent="0.15">
      <c r="U628" s="3"/>
      <c r="V628" s="3"/>
    </row>
    <row r="629" spans="21:22" ht="13" x14ac:dyDescent="0.15">
      <c r="U629" s="3"/>
      <c r="V629" s="3"/>
    </row>
    <row r="630" spans="21:22" ht="13" x14ac:dyDescent="0.15">
      <c r="U630" s="3"/>
      <c r="V630" s="3"/>
    </row>
    <row r="631" spans="21:22" ht="13" x14ac:dyDescent="0.15">
      <c r="U631" s="3"/>
      <c r="V631" s="3"/>
    </row>
    <row r="632" spans="21:22" ht="13" x14ac:dyDescent="0.15">
      <c r="U632" s="3"/>
      <c r="V632" s="3"/>
    </row>
    <row r="633" spans="21:22" ht="13" x14ac:dyDescent="0.15">
      <c r="U633" s="3"/>
      <c r="V633" s="3"/>
    </row>
    <row r="634" spans="21:22" ht="13" x14ac:dyDescent="0.15">
      <c r="U634" s="3"/>
      <c r="V634" s="3"/>
    </row>
    <row r="635" spans="21:22" ht="13" x14ac:dyDescent="0.15">
      <c r="U635" s="3"/>
      <c r="V635" s="3"/>
    </row>
    <row r="636" spans="21:22" ht="13" x14ac:dyDescent="0.15">
      <c r="U636" s="3"/>
      <c r="V636" s="3"/>
    </row>
    <row r="637" spans="21:22" ht="13" x14ac:dyDescent="0.15">
      <c r="U637" s="3"/>
      <c r="V637" s="3"/>
    </row>
    <row r="638" spans="21:22" ht="13" x14ac:dyDescent="0.15">
      <c r="U638" s="3"/>
      <c r="V638" s="3"/>
    </row>
    <row r="639" spans="21:22" ht="13" x14ac:dyDescent="0.15">
      <c r="U639" s="3"/>
      <c r="V639" s="3"/>
    </row>
    <row r="640" spans="21:22" ht="13" x14ac:dyDescent="0.15">
      <c r="U640" s="3"/>
      <c r="V640" s="3"/>
    </row>
    <row r="641" spans="21:22" ht="13" x14ac:dyDescent="0.15">
      <c r="U641" s="3"/>
      <c r="V641" s="3"/>
    </row>
    <row r="642" spans="21:22" ht="13" x14ac:dyDescent="0.15">
      <c r="U642" s="3"/>
      <c r="V642" s="3"/>
    </row>
    <row r="643" spans="21:22" ht="13" x14ac:dyDescent="0.15">
      <c r="U643" s="3"/>
      <c r="V643" s="3"/>
    </row>
    <row r="644" spans="21:22" ht="13" x14ac:dyDescent="0.15">
      <c r="U644" s="3"/>
      <c r="V644" s="3"/>
    </row>
    <row r="645" spans="21:22" ht="13" x14ac:dyDescent="0.15">
      <c r="U645" s="3"/>
      <c r="V645" s="3"/>
    </row>
    <row r="646" spans="21:22" ht="13" x14ac:dyDescent="0.15">
      <c r="U646" s="3"/>
      <c r="V646" s="3"/>
    </row>
    <row r="647" spans="21:22" ht="13" x14ac:dyDescent="0.15">
      <c r="U647" s="3"/>
      <c r="V647" s="3"/>
    </row>
    <row r="648" spans="21:22" ht="13" x14ac:dyDescent="0.15">
      <c r="U648" s="3"/>
      <c r="V648" s="3"/>
    </row>
    <row r="649" spans="21:22" ht="13" x14ac:dyDescent="0.15">
      <c r="U649" s="3"/>
      <c r="V649" s="3"/>
    </row>
    <row r="650" spans="21:22" ht="13" x14ac:dyDescent="0.15">
      <c r="U650" s="3"/>
      <c r="V650" s="3"/>
    </row>
    <row r="651" spans="21:22" ht="13" x14ac:dyDescent="0.15">
      <c r="U651" s="3"/>
      <c r="V651" s="3"/>
    </row>
    <row r="652" spans="21:22" ht="13" x14ac:dyDescent="0.15">
      <c r="U652" s="3"/>
      <c r="V652" s="3"/>
    </row>
    <row r="653" spans="21:22" ht="13" x14ac:dyDescent="0.15">
      <c r="U653" s="3"/>
      <c r="V653" s="3"/>
    </row>
    <row r="654" spans="21:22" ht="13" x14ac:dyDescent="0.15">
      <c r="U654" s="3"/>
      <c r="V654" s="3"/>
    </row>
    <row r="655" spans="21:22" ht="13" x14ac:dyDescent="0.15">
      <c r="U655" s="3"/>
      <c r="V655" s="3"/>
    </row>
    <row r="656" spans="21:22" ht="13" x14ac:dyDescent="0.15">
      <c r="U656" s="3"/>
      <c r="V656" s="3"/>
    </row>
    <row r="657" spans="21:22" ht="13" x14ac:dyDescent="0.15">
      <c r="U657" s="3"/>
      <c r="V657" s="3"/>
    </row>
    <row r="658" spans="21:22" ht="13" x14ac:dyDescent="0.15">
      <c r="U658" s="3"/>
      <c r="V658" s="3"/>
    </row>
    <row r="659" spans="21:22" ht="13" x14ac:dyDescent="0.15">
      <c r="U659" s="3"/>
      <c r="V659" s="3"/>
    </row>
    <row r="660" spans="21:22" ht="13" x14ac:dyDescent="0.15">
      <c r="U660" s="3"/>
      <c r="V660" s="3"/>
    </row>
    <row r="661" spans="21:22" ht="13" x14ac:dyDescent="0.15">
      <c r="U661" s="3"/>
      <c r="V661" s="3"/>
    </row>
    <row r="662" spans="21:22" ht="13" x14ac:dyDescent="0.15">
      <c r="U662" s="3"/>
      <c r="V662" s="3"/>
    </row>
    <row r="663" spans="21:22" ht="13" x14ac:dyDescent="0.15">
      <c r="U663" s="3"/>
      <c r="V663" s="3"/>
    </row>
    <row r="664" spans="21:22" ht="13" x14ac:dyDescent="0.15">
      <c r="U664" s="3"/>
      <c r="V664" s="3"/>
    </row>
    <row r="665" spans="21:22" ht="13" x14ac:dyDescent="0.15">
      <c r="U665" s="3"/>
      <c r="V665" s="3"/>
    </row>
    <row r="666" spans="21:22" ht="13" x14ac:dyDescent="0.15">
      <c r="U666" s="3"/>
      <c r="V666" s="3"/>
    </row>
    <row r="667" spans="21:22" ht="13" x14ac:dyDescent="0.15">
      <c r="U667" s="3"/>
      <c r="V667" s="3"/>
    </row>
    <row r="668" spans="21:22" ht="13" x14ac:dyDescent="0.15">
      <c r="U668" s="3"/>
      <c r="V668" s="3"/>
    </row>
    <row r="669" spans="21:22" ht="13" x14ac:dyDescent="0.15">
      <c r="U669" s="3"/>
      <c r="V669" s="3"/>
    </row>
    <row r="670" spans="21:22" ht="13" x14ac:dyDescent="0.15">
      <c r="U670" s="3"/>
      <c r="V670" s="3"/>
    </row>
    <row r="671" spans="21:22" ht="13" x14ac:dyDescent="0.15">
      <c r="U671" s="3"/>
      <c r="V671" s="3"/>
    </row>
    <row r="672" spans="21:22" ht="13" x14ac:dyDescent="0.15">
      <c r="U672" s="3"/>
      <c r="V672" s="3"/>
    </row>
    <row r="673" spans="21:22" ht="13" x14ac:dyDescent="0.15">
      <c r="U673" s="3"/>
      <c r="V673" s="3"/>
    </row>
    <row r="674" spans="21:22" ht="13" x14ac:dyDescent="0.15">
      <c r="U674" s="3"/>
      <c r="V674" s="3"/>
    </row>
    <row r="675" spans="21:22" ht="13" x14ac:dyDescent="0.15">
      <c r="U675" s="3"/>
      <c r="V675" s="3"/>
    </row>
    <row r="676" spans="21:22" ht="13" x14ac:dyDescent="0.15">
      <c r="U676" s="3"/>
      <c r="V676" s="3"/>
    </row>
    <row r="677" spans="21:22" ht="13" x14ac:dyDescent="0.15">
      <c r="U677" s="3"/>
      <c r="V677" s="3"/>
    </row>
    <row r="678" spans="21:22" ht="13" x14ac:dyDescent="0.15">
      <c r="U678" s="3"/>
      <c r="V678" s="3"/>
    </row>
    <row r="679" spans="21:22" ht="13" x14ac:dyDescent="0.15">
      <c r="U679" s="3"/>
      <c r="V679" s="3"/>
    </row>
    <row r="680" spans="21:22" ht="13" x14ac:dyDescent="0.15">
      <c r="U680" s="3"/>
      <c r="V680" s="3"/>
    </row>
    <row r="681" spans="21:22" ht="13" x14ac:dyDescent="0.15">
      <c r="U681" s="3"/>
      <c r="V681" s="3"/>
    </row>
    <row r="682" spans="21:22" ht="13" x14ac:dyDescent="0.15">
      <c r="U682" s="3"/>
      <c r="V682" s="3"/>
    </row>
    <row r="683" spans="21:22" ht="13" x14ac:dyDescent="0.15">
      <c r="U683" s="3"/>
      <c r="V683" s="3"/>
    </row>
    <row r="684" spans="21:22" ht="13" x14ac:dyDescent="0.15">
      <c r="U684" s="3"/>
      <c r="V684" s="3"/>
    </row>
    <row r="685" spans="21:22" ht="13" x14ac:dyDescent="0.15">
      <c r="U685" s="3"/>
      <c r="V685" s="3"/>
    </row>
    <row r="686" spans="21:22" ht="13" x14ac:dyDescent="0.15">
      <c r="U686" s="3"/>
      <c r="V686" s="3"/>
    </row>
    <row r="687" spans="21:22" ht="13" x14ac:dyDescent="0.15">
      <c r="U687" s="3"/>
      <c r="V687" s="3"/>
    </row>
    <row r="688" spans="21:22" ht="13" x14ac:dyDescent="0.15">
      <c r="U688" s="3"/>
      <c r="V688" s="3"/>
    </row>
    <row r="689" spans="21:22" ht="13" x14ac:dyDescent="0.15">
      <c r="U689" s="3"/>
      <c r="V689" s="3"/>
    </row>
    <row r="690" spans="21:22" ht="13" x14ac:dyDescent="0.15">
      <c r="U690" s="3"/>
      <c r="V690" s="3"/>
    </row>
    <row r="691" spans="21:22" ht="13" x14ac:dyDescent="0.15">
      <c r="U691" s="3"/>
      <c r="V691" s="3"/>
    </row>
    <row r="692" spans="21:22" ht="13" x14ac:dyDescent="0.15">
      <c r="U692" s="3"/>
      <c r="V692" s="3"/>
    </row>
    <row r="693" spans="21:22" ht="13" x14ac:dyDescent="0.15">
      <c r="U693" s="3"/>
      <c r="V693" s="3"/>
    </row>
    <row r="694" spans="21:22" ht="13" x14ac:dyDescent="0.15">
      <c r="U694" s="3"/>
      <c r="V694" s="3"/>
    </row>
    <row r="695" spans="21:22" ht="13" x14ac:dyDescent="0.15">
      <c r="U695" s="3"/>
      <c r="V695" s="3"/>
    </row>
    <row r="696" spans="21:22" ht="13" x14ac:dyDescent="0.15">
      <c r="U696" s="3"/>
      <c r="V696" s="3"/>
    </row>
    <row r="697" spans="21:22" ht="13" x14ac:dyDescent="0.15">
      <c r="U697" s="3"/>
      <c r="V697" s="3"/>
    </row>
    <row r="698" spans="21:22" ht="13" x14ac:dyDescent="0.15">
      <c r="U698" s="3"/>
      <c r="V698" s="3"/>
    </row>
    <row r="699" spans="21:22" ht="13" x14ac:dyDescent="0.15">
      <c r="U699" s="3"/>
      <c r="V699" s="3"/>
    </row>
    <row r="700" spans="21:22" ht="13" x14ac:dyDescent="0.15">
      <c r="U700" s="3"/>
      <c r="V700" s="3"/>
    </row>
    <row r="701" spans="21:22" ht="13" x14ac:dyDescent="0.15">
      <c r="U701" s="3"/>
      <c r="V701" s="3"/>
    </row>
    <row r="702" spans="21:22" ht="13" x14ac:dyDescent="0.15">
      <c r="U702" s="3"/>
      <c r="V702" s="3"/>
    </row>
    <row r="703" spans="21:22" ht="13" x14ac:dyDescent="0.15">
      <c r="U703" s="3"/>
      <c r="V703" s="3"/>
    </row>
    <row r="704" spans="21:22" ht="13" x14ac:dyDescent="0.15">
      <c r="U704" s="3"/>
      <c r="V704" s="3"/>
    </row>
    <row r="705" spans="21:22" ht="13" x14ac:dyDescent="0.15">
      <c r="U705" s="3"/>
      <c r="V705" s="3"/>
    </row>
    <row r="706" spans="21:22" ht="13" x14ac:dyDescent="0.15">
      <c r="U706" s="3"/>
      <c r="V706" s="3"/>
    </row>
    <row r="707" spans="21:22" ht="13" x14ac:dyDescent="0.15">
      <c r="U707" s="3"/>
      <c r="V707" s="3"/>
    </row>
    <row r="708" spans="21:22" ht="13" x14ac:dyDescent="0.15">
      <c r="U708" s="3"/>
      <c r="V708" s="3"/>
    </row>
    <row r="709" spans="21:22" ht="13" x14ac:dyDescent="0.15">
      <c r="U709" s="3"/>
      <c r="V709" s="3"/>
    </row>
    <row r="710" spans="21:22" ht="13" x14ac:dyDescent="0.15">
      <c r="U710" s="3"/>
      <c r="V710" s="3"/>
    </row>
    <row r="711" spans="21:22" ht="13" x14ac:dyDescent="0.15">
      <c r="U711" s="3"/>
      <c r="V711" s="3"/>
    </row>
    <row r="712" spans="21:22" ht="13" x14ac:dyDescent="0.15">
      <c r="U712" s="3"/>
      <c r="V712" s="3"/>
    </row>
    <row r="713" spans="21:22" ht="13" x14ac:dyDescent="0.15">
      <c r="U713" s="3"/>
      <c r="V713" s="3"/>
    </row>
    <row r="714" spans="21:22" ht="13" x14ac:dyDescent="0.15">
      <c r="U714" s="3"/>
      <c r="V714" s="3"/>
    </row>
    <row r="715" spans="21:22" ht="13" x14ac:dyDescent="0.15">
      <c r="U715" s="3"/>
      <c r="V715" s="3"/>
    </row>
    <row r="716" spans="21:22" ht="13" x14ac:dyDescent="0.15">
      <c r="U716" s="3"/>
      <c r="V716" s="3"/>
    </row>
    <row r="717" spans="21:22" ht="13" x14ac:dyDescent="0.15">
      <c r="U717" s="3"/>
      <c r="V717" s="3"/>
    </row>
    <row r="718" spans="21:22" ht="13" x14ac:dyDescent="0.15">
      <c r="U718" s="3"/>
      <c r="V718" s="3"/>
    </row>
    <row r="719" spans="21:22" ht="13" x14ac:dyDescent="0.15">
      <c r="U719" s="3"/>
      <c r="V719" s="3"/>
    </row>
    <row r="720" spans="21:22" ht="13" x14ac:dyDescent="0.15">
      <c r="U720" s="3"/>
      <c r="V720" s="3"/>
    </row>
    <row r="721" spans="21:22" ht="13" x14ac:dyDescent="0.15">
      <c r="U721" s="3"/>
      <c r="V721" s="3"/>
    </row>
    <row r="722" spans="21:22" ht="13" x14ac:dyDescent="0.15">
      <c r="U722" s="3"/>
      <c r="V722" s="3"/>
    </row>
    <row r="723" spans="21:22" ht="13" x14ac:dyDescent="0.15">
      <c r="U723" s="3"/>
      <c r="V723" s="3"/>
    </row>
    <row r="724" spans="21:22" ht="13" x14ac:dyDescent="0.15">
      <c r="U724" s="3"/>
      <c r="V724" s="3"/>
    </row>
    <row r="725" spans="21:22" ht="13" x14ac:dyDescent="0.15">
      <c r="U725" s="3"/>
      <c r="V725" s="3"/>
    </row>
    <row r="726" spans="21:22" ht="13" x14ac:dyDescent="0.15">
      <c r="U726" s="3"/>
      <c r="V726" s="3"/>
    </row>
    <row r="727" spans="21:22" ht="13" x14ac:dyDescent="0.15">
      <c r="U727" s="3"/>
      <c r="V727" s="3"/>
    </row>
    <row r="728" spans="21:22" ht="13" x14ac:dyDescent="0.15">
      <c r="U728" s="3"/>
      <c r="V728" s="3"/>
    </row>
    <row r="729" spans="21:22" ht="13" x14ac:dyDescent="0.15">
      <c r="U729" s="3"/>
      <c r="V729" s="3"/>
    </row>
    <row r="730" spans="21:22" ht="13" x14ac:dyDescent="0.15">
      <c r="U730" s="3"/>
      <c r="V730" s="3"/>
    </row>
    <row r="731" spans="21:22" ht="13" x14ac:dyDescent="0.15">
      <c r="U731" s="3"/>
      <c r="V731" s="3"/>
    </row>
    <row r="732" spans="21:22" ht="13" x14ac:dyDescent="0.15">
      <c r="U732" s="3"/>
      <c r="V732" s="3"/>
    </row>
    <row r="733" spans="21:22" ht="13" x14ac:dyDescent="0.15">
      <c r="U733" s="3"/>
      <c r="V733" s="3"/>
    </row>
    <row r="734" spans="21:22" ht="13" x14ac:dyDescent="0.15">
      <c r="U734" s="3"/>
      <c r="V734" s="3"/>
    </row>
    <row r="735" spans="21:22" ht="13" x14ac:dyDescent="0.15">
      <c r="U735" s="3"/>
      <c r="V735" s="3"/>
    </row>
    <row r="736" spans="21:22" ht="13" x14ac:dyDescent="0.15">
      <c r="U736" s="3"/>
      <c r="V736" s="3"/>
    </row>
    <row r="737" spans="21:22" ht="13" x14ac:dyDescent="0.15">
      <c r="U737" s="3"/>
      <c r="V737" s="3"/>
    </row>
    <row r="738" spans="21:22" ht="13" x14ac:dyDescent="0.15">
      <c r="U738" s="3"/>
      <c r="V738" s="3"/>
    </row>
    <row r="739" spans="21:22" ht="13" x14ac:dyDescent="0.15">
      <c r="U739" s="3"/>
      <c r="V739" s="3"/>
    </row>
    <row r="740" spans="21:22" ht="13" x14ac:dyDescent="0.15">
      <c r="U740" s="3"/>
      <c r="V740" s="3"/>
    </row>
    <row r="741" spans="21:22" ht="13" x14ac:dyDescent="0.15">
      <c r="U741" s="3"/>
      <c r="V741" s="3"/>
    </row>
    <row r="742" spans="21:22" ht="13" x14ac:dyDescent="0.15">
      <c r="U742" s="3"/>
      <c r="V742" s="3"/>
    </row>
    <row r="743" spans="21:22" ht="13" x14ac:dyDescent="0.15">
      <c r="U743" s="3"/>
      <c r="V743" s="3"/>
    </row>
    <row r="744" spans="21:22" ht="13" x14ac:dyDescent="0.15">
      <c r="U744" s="3"/>
      <c r="V744" s="3"/>
    </row>
    <row r="745" spans="21:22" ht="13" x14ac:dyDescent="0.15">
      <c r="U745" s="3"/>
      <c r="V745" s="3"/>
    </row>
    <row r="746" spans="21:22" ht="13" x14ac:dyDescent="0.15">
      <c r="U746" s="3"/>
      <c r="V746" s="3"/>
    </row>
    <row r="747" spans="21:22" ht="13" x14ac:dyDescent="0.15">
      <c r="U747" s="3"/>
      <c r="V747" s="3"/>
    </row>
    <row r="748" spans="21:22" ht="13" x14ac:dyDescent="0.15">
      <c r="U748" s="3"/>
      <c r="V748" s="3"/>
    </row>
    <row r="749" spans="21:22" ht="13" x14ac:dyDescent="0.15">
      <c r="U749" s="3"/>
      <c r="V749" s="3"/>
    </row>
    <row r="750" spans="21:22" ht="13" x14ac:dyDescent="0.15">
      <c r="U750" s="3"/>
      <c r="V750" s="3"/>
    </row>
    <row r="751" spans="21:22" ht="13" x14ac:dyDescent="0.15">
      <c r="U751" s="3"/>
      <c r="V751" s="3"/>
    </row>
    <row r="752" spans="21:22" ht="13" x14ac:dyDescent="0.15">
      <c r="U752" s="3"/>
      <c r="V752" s="3"/>
    </row>
    <row r="753" spans="21:22" ht="13" x14ac:dyDescent="0.15">
      <c r="U753" s="3"/>
      <c r="V753" s="3"/>
    </row>
    <row r="754" spans="21:22" ht="13" x14ac:dyDescent="0.15">
      <c r="U754" s="3"/>
      <c r="V754" s="3"/>
    </row>
    <row r="755" spans="21:22" ht="13" x14ac:dyDescent="0.15">
      <c r="U755" s="3"/>
      <c r="V755" s="3"/>
    </row>
    <row r="756" spans="21:22" ht="13" x14ac:dyDescent="0.15">
      <c r="U756" s="3"/>
      <c r="V756" s="3"/>
    </row>
    <row r="757" spans="21:22" ht="13" x14ac:dyDescent="0.15">
      <c r="U757" s="3"/>
      <c r="V757" s="3"/>
    </row>
    <row r="758" spans="21:22" ht="13" x14ac:dyDescent="0.15">
      <c r="U758" s="3"/>
      <c r="V758" s="3"/>
    </row>
    <row r="759" spans="21:22" ht="13" x14ac:dyDescent="0.15">
      <c r="U759" s="3"/>
      <c r="V759" s="3"/>
    </row>
    <row r="760" spans="21:22" ht="13" x14ac:dyDescent="0.15">
      <c r="U760" s="3"/>
      <c r="V760" s="3"/>
    </row>
    <row r="761" spans="21:22" ht="13" x14ac:dyDescent="0.15">
      <c r="U761" s="3"/>
      <c r="V761" s="3"/>
    </row>
    <row r="762" spans="21:22" ht="13" x14ac:dyDescent="0.15">
      <c r="U762" s="3"/>
      <c r="V762" s="3"/>
    </row>
    <row r="763" spans="21:22" ht="13" x14ac:dyDescent="0.15">
      <c r="U763" s="3"/>
      <c r="V763" s="3"/>
    </row>
    <row r="764" spans="21:22" ht="13" x14ac:dyDescent="0.15">
      <c r="U764" s="3"/>
      <c r="V764" s="3"/>
    </row>
    <row r="765" spans="21:22" ht="13" x14ac:dyDescent="0.15">
      <c r="U765" s="3"/>
      <c r="V765" s="3"/>
    </row>
    <row r="766" spans="21:22" ht="13" x14ac:dyDescent="0.15">
      <c r="U766" s="3"/>
      <c r="V766" s="3"/>
    </row>
    <row r="767" spans="21:22" ht="13" x14ac:dyDescent="0.15">
      <c r="U767" s="3"/>
      <c r="V767" s="3"/>
    </row>
    <row r="768" spans="21:22" ht="13" x14ac:dyDescent="0.15">
      <c r="U768" s="3"/>
      <c r="V768" s="3"/>
    </row>
    <row r="769" spans="21:22" ht="13" x14ac:dyDescent="0.15">
      <c r="U769" s="3"/>
      <c r="V769" s="3"/>
    </row>
    <row r="770" spans="21:22" ht="13" x14ac:dyDescent="0.15">
      <c r="U770" s="3"/>
      <c r="V770" s="3"/>
    </row>
    <row r="771" spans="21:22" ht="13" x14ac:dyDescent="0.15">
      <c r="U771" s="3"/>
      <c r="V771" s="3"/>
    </row>
    <row r="772" spans="21:22" ht="13" x14ac:dyDescent="0.15">
      <c r="U772" s="3"/>
      <c r="V772" s="3"/>
    </row>
    <row r="773" spans="21:22" ht="13" x14ac:dyDescent="0.15">
      <c r="U773" s="3"/>
      <c r="V773" s="3"/>
    </row>
    <row r="774" spans="21:22" ht="13" x14ac:dyDescent="0.15">
      <c r="U774" s="3"/>
      <c r="V774" s="3"/>
    </row>
    <row r="775" spans="21:22" ht="13" x14ac:dyDescent="0.15">
      <c r="U775" s="3"/>
      <c r="V775" s="3"/>
    </row>
    <row r="776" spans="21:22" ht="13" x14ac:dyDescent="0.15">
      <c r="U776" s="3"/>
      <c r="V776" s="3"/>
    </row>
    <row r="777" spans="21:22" ht="13" x14ac:dyDescent="0.15">
      <c r="U777" s="3"/>
      <c r="V777" s="3"/>
    </row>
    <row r="778" spans="21:22" ht="13" x14ac:dyDescent="0.15">
      <c r="U778" s="3"/>
      <c r="V778" s="3"/>
    </row>
    <row r="779" spans="21:22" ht="13" x14ac:dyDescent="0.15">
      <c r="U779" s="3"/>
      <c r="V779" s="3"/>
    </row>
    <row r="780" spans="21:22" ht="13" x14ac:dyDescent="0.15">
      <c r="U780" s="3"/>
      <c r="V780" s="3"/>
    </row>
    <row r="781" spans="21:22" ht="13" x14ac:dyDescent="0.15">
      <c r="U781" s="3"/>
      <c r="V781" s="3"/>
    </row>
    <row r="782" spans="21:22" ht="13" x14ac:dyDescent="0.15">
      <c r="U782" s="3"/>
      <c r="V782" s="3"/>
    </row>
    <row r="783" spans="21:22" ht="13" x14ac:dyDescent="0.15">
      <c r="U783" s="3"/>
      <c r="V783" s="3"/>
    </row>
    <row r="784" spans="21:22" ht="13" x14ac:dyDescent="0.15">
      <c r="U784" s="3"/>
      <c r="V784" s="3"/>
    </row>
    <row r="785" spans="21:22" ht="13" x14ac:dyDescent="0.15">
      <c r="U785" s="3"/>
      <c r="V785" s="3"/>
    </row>
    <row r="786" spans="21:22" ht="13" x14ac:dyDescent="0.15">
      <c r="U786" s="3"/>
      <c r="V786" s="3"/>
    </row>
    <row r="787" spans="21:22" ht="13" x14ac:dyDescent="0.15">
      <c r="U787" s="3"/>
      <c r="V787" s="3"/>
    </row>
    <row r="788" spans="21:22" ht="13" x14ac:dyDescent="0.15">
      <c r="U788" s="3"/>
      <c r="V788" s="3"/>
    </row>
    <row r="789" spans="21:22" ht="13" x14ac:dyDescent="0.15">
      <c r="U789" s="3"/>
      <c r="V789" s="3"/>
    </row>
    <row r="790" spans="21:22" ht="13" x14ac:dyDescent="0.15">
      <c r="U790" s="3"/>
      <c r="V790" s="3"/>
    </row>
    <row r="791" spans="21:22" ht="13" x14ac:dyDescent="0.15">
      <c r="U791" s="3"/>
      <c r="V791" s="3"/>
    </row>
    <row r="792" spans="21:22" ht="13" x14ac:dyDescent="0.15">
      <c r="U792" s="3"/>
      <c r="V792" s="3"/>
    </row>
    <row r="793" spans="21:22" ht="13" x14ac:dyDescent="0.15">
      <c r="U793" s="3"/>
      <c r="V793" s="3"/>
    </row>
    <row r="794" spans="21:22" ht="13" x14ac:dyDescent="0.15">
      <c r="U794" s="3"/>
      <c r="V794" s="3"/>
    </row>
    <row r="795" spans="21:22" ht="13" x14ac:dyDescent="0.15">
      <c r="U795" s="3"/>
      <c r="V795" s="3"/>
    </row>
    <row r="796" spans="21:22" ht="13" x14ac:dyDescent="0.15">
      <c r="U796" s="3"/>
      <c r="V796" s="3"/>
    </row>
    <row r="797" spans="21:22" ht="13" x14ac:dyDescent="0.15">
      <c r="U797" s="3"/>
      <c r="V797" s="3"/>
    </row>
    <row r="798" spans="21:22" ht="13" x14ac:dyDescent="0.15">
      <c r="U798" s="3"/>
      <c r="V798" s="3"/>
    </row>
    <row r="799" spans="21:22" ht="13" x14ac:dyDescent="0.15">
      <c r="U799" s="3"/>
      <c r="V799" s="3"/>
    </row>
    <row r="800" spans="21:22" ht="13" x14ac:dyDescent="0.15">
      <c r="U800" s="3"/>
      <c r="V800" s="3"/>
    </row>
    <row r="801" spans="21:22" ht="13" x14ac:dyDescent="0.15">
      <c r="U801" s="3"/>
      <c r="V801" s="3"/>
    </row>
    <row r="802" spans="21:22" ht="13" x14ac:dyDescent="0.15">
      <c r="U802" s="3"/>
      <c r="V802" s="3"/>
    </row>
    <row r="803" spans="21:22" ht="13" x14ac:dyDescent="0.15">
      <c r="U803" s="3"/>
      <c r="V803" s="3"/>
    </row>
    <row r="804" spans="21:22" ht="13" x14ac:dyDescent="0.15">
      <c r="U804" s="3"/>
      <c r="V804" s="3"/>
    </row>
    <row r="805" spans="21:22" ht="13" x14ac:dyDescent="0.15">
      <c r="U805" s="3"/>
      <c r="V805" s="3"/>
    </row>
    <row r="806" spans="21:22" ht="13" x14ac:dyDescent="0.15">
      <c r="U806" s="3"/>
      <c r="V806" s="3"/>
    </row>
    <row r="807" spans="21:22" ht="13" x14ac:dyDescent="0.15">
      <c r="U807" s="3"/>
      <c r="V807" s="3"/>
    </row>
    <row r="808" spans="21:22" ht="13" x14ac:dyDescent="0.15">
      <c r="U808" s="3"/>
      <c r="V808" s="3"/>
    </row>
    <row r="809" spans="21:22" ht="13" x14ac:dyDescent="0.15">
      <c r="U809" s="3"/>
      <c r="V809" s="3"/>
    </row>
    <row r="810" spans="21:22" ht="13" x14ac:dyDescent="0.15">
      <c r="U810" s="3"/>
      <c r="V810" s="3"/>
    </row>
    <row r="811" spans="21:22" ht="13" x14ac:dyDescent="0.15">
      <c r="U811" s="3"/>
      <c r="V811" s="3"/>
    </row>
    <row r="812" spans="21:22" ht="13" x14ac:dyDescent="0.15">
      <c r="U812" s="3"/>
      <c r="V812" s="3"/>
    </row>
    <row r="813" spans="21:22" ht="13" x14ac:dyDescent="0.15">
      <c r="U813" s="3"/>
      <c r="V813" s="3"/>
    </row>
    <row r="814" spans="21:22" ht="13" x14ac:dyDescent="0.15">
      <c r="U814" s="3"/>
      <c r="V814" s="3"/>
    </row>
    <row r="815" spans="21:22" ht="13" x14ac:dyDescent="0.15">
      <c r="U815" s="3"/>
      <c r="V815" s="3"/>
    </row>
    <row r="816" spans="21:22" ht="13" x14ac:dyDescent="0.15">
      <c r="U816" s="3"/>
      <c r="V816" s="3"/>
    </row>
    <row r="817" spans="21:22" ht="13" x14ac:dyDescent="0.15">
      <c r="U817" s="3"/>
      <c r="V817" s="3"/>
    </row>
    <row r="818" spans="21:22" ht="13" x14ac:dyDescent="0.15">
      <c r="U818" s="3"/>
      <c r="V818" s="3"/>
    </row>
    <row r="819" spans="21:22" ht="13" x14ac:dyDescent="0.15">
      <c r="U819" s="3"/>
      <c r="V819" s="3"/>
    </row>
    <row r="820" spans="21:22" ht="13" x14ac:dyDescent="0.15">
      <c r="U820" s="3"/>
      <c r="V820" s="3"/>
    </row>
    <row r="821" spans="21:22" ht="13" x14ac:dyDescent="0.15">
      <c r="U821" s="3"/>
      <c r="V821" s="3"/>
    </row>
    <row r="822" spans="21:22" ht="13" x14ac:dyDescent="0.15">
      <c r="U822" s="3"/>
      <c r="V822" s="3"/>
    </row>
    <row r="823" spans="21:22" ht="13" x14ac:dyDescent="0.15">
      <c r="U823" s="3"/>
      <c r="V823" s="3"/>
    </row>
    <row r="824" spans="21:22" ht="13" x14ac:dyDescent="0.15">
      <c r="U824" s="3"/>
      <c r="V824" s="3"/>
    </row>
    <row r="825" spans="21:22" ht="13" x14ac:dyDescent="0.15">
      <c r="U825" s="3"/>
      <c r="V825" s="3"/>
    </row>
    <row r="826" spans="21:22" ht="13" x14ac:dyDescent="0.15">
      <c r="U826" s="3"/>
      <c r="V826" s="3"/>
    </row>
    <row r="827" spans="21:22" ht="13" x14ac:dyDescent="0.15">
      <c r="U827" s="3"/>
      <c r="V827" s="3"/>
    </row>
    <row r="828" spans="21:22" ht="13" x14ac:dyDescent="0.15">
      <c r="U828" s="3"/>
      <c r="V828" s="3"/>
    </row>
    <row r="829" spans="21:22" ht="13" x14ac:dyDescent="0.15">
      <c r="U829" s="3"/>
      <c r="V829" s="3"/>
    </row>
    <row r="830" spans="21:22" ht="13" x14ac:dyDescent="0.15">
      <c r="U830" s="3"/>
      <c r="V830" s="3"/>
    </row>
    <row r="831" spans="21:22" ht="13" x14ac:dyDescent="0.15">
      <c r="U831" s="3"/>
      <c r="V831" s="3"/>
    </row>
    <row r="832" spans="21:22" ht="13" x14ac:dyDescent="0.15">
      <c r="U832" s="3"/>
      <c r="V832" s="3"/>
    </row>
    <row r="833" spans="21:22" ht="13" x14ac:dyDescent="0.15">
      <c r="U833" s="3"/>
      <c r="V833" s="3"/>
    </row>
    <row r="834" spans="21:22" ht="13" x14ac:dyDescent="0.15">
      <c r="U834" s="3"/>
      <c r="V834" s="3"/>
    </row>
    <row r="835" spans="21:22" ht="13" x14ac:dyDescent="0.15">
      <c r="U835" s="3"/>
      <c r="V835" s="3"/>
    </row>
    <row r="836" spans="21:22" ht="13" x14ac:dyDescent="0.15">
      <c r="U836" s="3"/>
      <c r="V836" s="3"/>
    </row>
    <row r="837" spans="21:22" ht="13" x14ac:dyDescent="0.15">
      <c r="U837" s="3"/>
      <c r="V837" s="3"/>
    </row>
    <row r="838" spans="21:22" ht="13" x14ac:dyDescent="0.15">
      <c r="U838" s="3"/>
      <c r="V838" s="3"/>
    </row>
    <row r="839" spans="21:22" ht="13" x14ac:dyDescent="0.15">
      <c r="U839" s="3"/>
      <c r="V839" s="3"/>
    </row>
    <row r="840" spans="21:22" ht="13" x14ac:dyDescent="0.15">
      <c r="U840" s="3"/>
      <c r="V840" s="3"/>
    </row>
    <row r="841" spans="21:22" ht="13" x14ac:dyDescent="0.15">
      <c r="U841" s="3"/>
      <c r="V841" s="3"/>
    </row>
    <row r="842" spans="21:22" ht="13" x14ac:dyDescent="0.15">
      <c r="U842" s="3"/>
      <c r="V842" s="3"/>
    </row>
    <row r="843" spans="21:22" ht="13" x14ac:dyDescent="0.15">
      <c r="U843" s="3"/>
      <c r="V843" s="3"/>
    </row>
    <row r="844" spans="21:22" ht="13" x14ac:dyDescent="0.15">
      <c r="U844" s="3"/>
      <c r="V844" s="3"/>
    </row>
    <row r="845" spans="21:22" ht="13" x14ac:dyDescent="0.15">
      <c r="U845" s="3"/>
      <c r="V845" s="3"/>
    </row>
    <row r="846" spans="21:22" ht="13" x14ac:dyDescent="0.15">
      <c r="U846" s="3"/>
      <c r="V846" s="3"/>
    </row>
    <row r="847" spans="21:22" ht="13" x14ac:dyDescent="0.15">
      <c r="U847" s="3"/>
      <c r="V847" s="3"/>
    </row>
    <row r="848" spans="21:22" ht="13" x14ac:dyDescent="0.15">
      <c r="U848" s="3"/>
      <c r="V848" s="3"/>
    </row>
    <row r="849" spans="21:22" ht="13" x14ac:dyDescent="0.15">
      <c r="U849" s="3"/>
      <c r="V849" s="3"/>
    </row>
    <row r="850" spans="21:22" ht="13" x14ac:dyDescent="0.15">
      <c r="U850" s="3"/>
      <c r="V850" s="3"/>
    </row>
    <row r="851" spans="21:22" ht="13" x14ac:dyDescent="0.15">
      <c r="U851" s="3"/>
      <c r="V851" s="3"/>
    </row>
    <row r="852" spans="21:22" ht="13" x14ac:dyDescent="0.15">
      <c r="U852" s="3"/>
      <c r="V852" s="3"/>
    </row>
    <row r="853" spans="21:22" ht="13" x14ac:dyDescent="0.15">
      <c r="U853" s="3"/>
      <c r="V853" s="3"/>
    </row>
    <row r="854" spans="21:22" ht="13" x14ac:dyDescent="0.15">
      <c r="U854" s="3"/>
      <c r="V854" s="3"/>
    </row>
    <row r="855" spans="21:22" ht="13" x14ac:dyDescent="0.15">
      <c r="U855" s="3"/>
      <c r="V855" s="3"/>
    </row>
    <row r="856" spans="21:22" ht="13" x14ac:dyDescent="0.15">
      <c r="U856" s="3"/>
      <c r="V856" s="3"/>
    </row>
    <row r="857" spans="21:22" ht="13" x14ac:dyDescent="0.15">
      <c r="U857" s="3"/>
      <c r="V857" s="3"/>
    </row>
    <row r="858" spans="21:22" ht="13" x14ac:dyDescent="0.15">
      <c r="U858" s="3"/>
      <c r="V858" s="3"/>
    </row>
    <row r="859" spans="21:22" ht="13" x14ac:dyDescent="0.15">
      <c r="U859" s="3"/>
      <c r="V859" s="3"/>
    </row>
    <row r="860" spans="21:22" ht="13" x14ac:dyDescent="0.15">
      <c r="U860" s="3"/>
      <c r="V860" s="3"/>
    </row>
    <row r="861" spans="21:22" ht="13" x14ac:dyDescent="0.15">
      <c r="U861" s="3"/>
      <c r="V861" s="3"/>
    </row>
    <row r="862" spans="21:22" ht="13" x14ac:dyDescent="0.15">
      <c r="U862" s="3"/>
      <c r="V862" s="3"/>
    </row>
    <row r="863" spans="21:22" ht="13" x14ac:dyDescent="0.15">
      <c r="U863" s="3"/>
      <c r="V863" s="3"/>
    </row>
    <row r="864" spans="21:22" ht="13" x14ac:dyDescent="0.15">
      <c r="U864" s="3"/>
      <c r="V864" s="3"/>
    </row>
    <row r="865" spans="21:22" ht="13" x14ac:dyDescent="0.15">
      <c r="U865" s="3"/>
      <c r="V865" s="3"/>
    </row>
    <row r="866" spans="21:22" ht="13" x14ac:dyDescent="0.15">
      <c r="U866" s="3"/>
      <c r="V866" s="3"/>
    </row>
    <row r="867" spans="21:22" ht="13" x14ac:dyDescent="0.15">
      <c r="U867" s="3"/>
      <c r="V867" s="3"/>
    </row>
    <row r="868" spans="21:22" ht="13" x14ac:dyDescent="0.15">
      <c r="U868" s="3"/>
      <c r="V868" s="3"/>
    </row>
    <row r="869" spans="21:22" ht="13" x14ac:dyDescent="0.15">
      <c r="U869" s="3"/>
      <c r="V869" s="3"/>
    </row>
    <row r="870" spans="21:22" ht="13" x14ac:dyDescent="0.15">
      <c r="U870" s="3"/>
      <c r="V870" s="3"/>
    </row>
    <row r="871" spans="21:22" ht="13" x14ac:dyDescent="0.15">
      <c r="U871" s="3"/>
      <c r="V871" s="3"/>
    </row>
    <row r="872" spans="21:22" ht="13" x14ac:dyDescent="0.15">
      <c r="U872" s="3"/>
      <c r="V872" s="3"/>
    </row>
    <row r="873" spans="21:22" ht="13" x14ac:dyDescent="0.15">
      <c r="U873" s="3"/>
      <c r="V873" s="3"/>
    </row>
    <row r="874" spans="21:22" ht="13" x14ac:dyDescent="0.15">
      <c r="U874" s="3"/>
      <c r="V874" s="3"/>
    </row>
    <row r="875" spans="21:22" ht="13" x14ac:dyDescent="0.15">
      <c r="U875" s="3"/>
      <c r="V875" s="3"/>
    </row>
    <row r="876" spans="21:22" ht="13" x14ac:dyDescent="0.15">
      <c r="U876" s="3"/>
      <c r="V876" s="3"/>
    </row>
    <row r="877" spans="21:22" ht="13" x14ac:dyDescent="0.15">
      <c r="U877" s="3"/>
      <c r="V877" s="3"/>
    </row>
    <row r="878" spans="21:22" ht="13" x14ac:dyDescent="0.15">
      <c r="U878" s="3"/>
      <c r="V878" s="3"/>
    </row>
    <row r="879" spans="21:22" ht="13" x14ac:dyDescent="0.15">
      <c r="U879" s="3"/>
      <c r="V879" s="3"/>
    </row>
    <row r="880" spans="21:22" ht="13" x14ac:dyDescent="0.15">
      <c r="U880" s="3"/>
      <c r="V880" s="3"/>
    </row>
    <row r="881" spans="21:22" ht="13" x14ac:dyDescent="0.15">
      <c r="U881" s="3"/>
      <c r="V881" s="3"/>
    </row>
    <row r="882" spans="21:22" ht="13" x14ac:dyDescent="0.15">
      <c r="U882" s="3"/>
      <c r="V882" s="3"/>
    </row>
    <row r="883" spans="21:22" ht="13" x14ac:dyDescent="0.15">
      <c r="U883" s="3"/>
      <c r="V883" s="3"/>
    </row>
    <row r="884" spans="21:22" ht="13" x14ac:dyDescent="0.15">
      <c r="U884" s="3"/>
      <c r="V884" s="3"/>
    </row>
    <row r="885" spans="21:22" ht="13" x14ac:dyDescent="0.15">
      <c r="U885" s="3"/>
      <c r="V885" s="3"/>
    </row>
    <row r="886" spans="21:22" ht="13" x14ac:dyDescent="0.15">
      <c r="U886" s="3"/>
      <c r="V886" s="3"/>
    </row>
    <row r="887" spans="21:22" ht="13" x14ac:dyDescent="0.15">
      <c r="U887" s="3"/>
      <c r="V887" s="3"/>
    </row>
    <row r="888" spans="21:22" ht="13" x14ac:dyDescent="0.15">
      <c r="U888" s="3"/>
      <c r="V888" s="3"/>
    </row>
    <row r="889" spans="21:22" ht="13" x14ac:dyDescent="0.15">
      <c r="U889" s="3"/>
      <c r="V889" s="3"/>
    </row>
    <row r="890" spans="21:22" ht="13" x14ac:dyDescent="0.15">
      <c r="U890" s="3"/>
      <c r="V890" s="3"/>
    </row>
    <row r="891" spans="21:22" ht="13" x14ac:dyDescent="0.15">
      <c r="U891" s="3"/>
      <c r="V891" s="3"/>
    </row>
    <row r="892" spans="21:22" ht="13" x14ac:dyDescent="0.15">
      <c r="U892" s="3"/>
      <c r="V892" s="3"/>
    </row>
    <row r="893" spans="21:22" ht="13" x14ac:dyDescent="0.15">
      <c r="U893" s="3"/>
      <c r="V893" s="3"/>
    </row>
    <row r="894" spans="21:22" ht="13" x14ac:dyDescent="0.15">
      <c r="U894" s="3"/>
      <c r="V894" s="3"/>
    </row>
    <row r="895" spans="21:22" ht="13" x14ac:dyDescent="0.15">
      <c r="U895" s="3"/>
      <c r="V895" s="3"/>
    </row>
    <row r="896" spans="21:22" ht="13" x14ac:dyDescent="0.15">
      <c r="U896" s="3"/>
      <c r="V896" s="3"/>
    </row>
    <row r="897" spans="21:22" ht="13" x14ac:dyDescent="0.15">
      <c r="U897" s="3"/>
      <c r="V897" s="3"/>
    </row>
    <row r="898" spans="21:22" ht="13" x14ac:dyDescent="0.15">
      <c r="U898" s="3"/>
      <c r="V898" s="3"/>
    </row>
    <row r="899" spans="21:22" ht="13" x14ac:dyDescent="0.15">
      <c r="U899" s="3"/>
      <c r="V899" s="3"/>
    </row>
    <row r="900" spans="21:22" ht="13" x14ac:dyDescent="0.15">
      <c r="U900" s="3"/>
      <c r="V900" s="3"/>
    </row>
    <row r="901" spans="21:22" ht="13" x14ac:dyDescent="0.15">
      <c r="U901" s="3"/>
      <c r="V901" s="3"/>
    </row>
    <row r="902" spans="21:22" ht="13" x14ac:dyDescent="0.15">
      <c r="U902" s="3"/>
      <c r="V902" s="3"/>
    </row>
    <row r="903" spans="21:22" ht="13" x14ac:dyDescent="0.15">
      <c r="U903" s="3"/>
      <c r="V903" s="3"/>
    </row>
    <row r="904" spans="21:22" ht="13" x14ac:dyDescent="0.15">
      <c r="U904" s="3"/>
      <c r="V904" s="3"/>
    </row>
    <row r="905" spans="21:22" ht="13" x14ac:dyDescent="0.15">
      <c r="U905" s="3"/>
      <c r="V905" s="3"/>
    </row>
    <row r="906" spans="21:22" ht="13" x14ac:dyDescent="0.15">
      <c r="U906" s="3"/>
      <c r="V906" s="3"/>
    </row>
    <row r="907" spans="21:22" ht="13" x14ac:dyDescent="0.15">
      <c r="U907" s="3"/>
      <c r="V907" s="3"/>
    </row>
    <row r="908" spans="21:22" ht="13" x14ac:dyDescent="0.15">
      <c r="U908" s="3"/>
      <c r="V908" s="3"/>
    </row>
    <row r="909" spans="21:22" ht="13" x14ac:dyDescent="0.15">
      <c r="U909" s="3"/>
      <c r="V909" s="3"/>
    </row>
    <row r="910" spans="21:22" ht="13" x14ac:dyDescent="0.15">
      <c r="U910" s="3"/>
      <c r="V910" s="3"/>
    </row>
    <row r="911" spans="21:22" ht="13" x14ac:dyDescent="0.15">
      <c r="U911" s="3"/>
      <c r="V911" s="3"/>
    </row>
    <row r="912" spans="21:22" ht="13" x14ac:dyDescent="0.15">
      <c r="U912" s="3"/>
      <c r="V912" s="3"/>
    </row>
    <row r="913" spans="21:22" ht="13" x14ac:dyDescent="0.15">
      <c r="U913" s="3"/>
      <c r="V913" s="3"/>
    </row>
    <row r="914" spans="21:22" ht="13" x14ac:dyDescent="0.15">
      <c r="U914" s="3"/>
      <c r="V914" s="3"/>
    </row>
    <row r="915" spans="21:22" ht="13" x14ac:dyDescent="0.15">
      <c r="U915" s="3"/>
      <c r="V915" s="3"/>
    </row>
    <row r="916" spans="21:22" ht="13" x14ac:dyDescent="0.15">
      <c r="U916" s="3"/>
      <c r="V916" s="3"/>
    </row>
    <row r="917" spans="21:22" ht="13" x14ac:dyDescent="0.15">
      <c r="U917" s="3"/>
      <c r="V917" s="3"/>
    </row>
    <row r="918" spans="21:22" ht="13" x14ac:dyDescent="0.15">
      <c r="U918" s="3"/>
      <c r="V918" s="3"/>
    </row>
    <row r="919" spans="21:22" ht="13" x14ac:dyDescent="0.15">
      <c r="U919" s="3"/>
      <c r="V919" s="3"/>
    </row>
    <row r="920" spans="21:22" ht="13" x14ac:dyDescent="0.15">
      <c r="U920" s="3"/>
      <c r="V920" s="3"/>
    </row>
    <row r="921" spans="21:22" ht="13" x14ac:dyDescent="0.15">
      <c r="U921" s="3"/>
      <c r="V921" s="3"/>
    </row>
    <row r="922" spans="21:22" ht="13" x14ac:dyDescent="0.15">
      <c r="U922" s="3"/>
      <c r="V922" s="3"/>
    </row>
    <row r="923" spans="21:22" ht="13" x14ac:dyDescent="0.15">
      <c r="U923" s="3"/>
      <c r="V923" s="3"/>
    </row>
    <row r="924" spans="21:22" ht="13" x14ac:dyDescent="0.15">
      <c r="U924" s="3"/>
      <c r="V924" s="3"/>
    </row>
    <row r="925" spans="21:22" ht="13" x14ac:dyDescent="0.15">
      <c r="U925" s="3"/>
      <c r="V925" s="3"/>
    </row>
    <row r="926" spans="21:22" ht="13" x14ac:dyDescent="0.15">
      <c r="U926" s="3"/>
      <c r="V926" s="3"/>
    </row>
    <row r="927" spans="21:22" ht="13" x14ac:dyDescent="0.15">
      <c r="U927" s="3"/>
      <c r="V927" s="3"/>
    </row>
    <row r="928" spans="21:22" ht="13" x14ac:dyDescent="0.15">
      <c r="U928" s="3"/>
      <c r="V928" s="3"/>
    </row>
    <row r="929" spans="21:22" ht="13" x14ac:dyDescent="0.15">
      <c r="U929" s="3"/>
      <c r="V929" s="3"/>
    </row>
    <row r="930" spans="21:22" ht="13" x14ac:dyDescent="0.15">
      <c r="U930" s="3"/>
      <c r="V930" s="3"/>
    </row>
    <row r="931" spans="21:22" ht="13" x14ac:dyDescent="0.15">
      <c r="U931" s="3"/>
      <c r="V931" s="3"/>
    </row>
    <row r="932" spans="21:22" ht="13" x14ac:dyDescent="0.15">
      <c r="U932" s="3"/>
      <c r="V932" s="3"/>
    </row>
    <row r="933" spans="21:22" ht="13" x14ac:dyDescent="0.15">
      <c r="U933" s="3"/>
      <c r="V933" s="3"/>
    </row>
    <row r="934" spans="21:22" ht="13" x14ac:dyDescent="0.15">
      <c r="U934" s="3"/>
      <c r="V934" s="3"/>
    </row>
    <row r="935" spans="21:22" ht="13" x14ac:dyDescent="0.15">
      <c r="U935" s="3"/>
      <c r="V935" s="3"/>
    </row>
    <row r="936" spans="21:22" ht="13" x14ac:dyDescent="0.15">
      <c r="U936" s="3"/>
      <c r="V936" s="3"/>
    </row>
    <row r="937" spans="21:22" ht="13" x14ac:dyDescent="0.15">
      <c r="U937" s="3"/>
      <c r="V937" s="3"/>
    </row>
    <row r="938" spans="21:22" ht="13" x14ac:dyDescent="0.15">
      <c r="U938" s="3"/>
      <c r="V938" s="3"/>
    </row>
    <row r="939" spans="21:22" ht="13" x14ac:dyDescent="0.15">
      <c r="U939" s="3"/>
      <c r="V939" s="3"/>
    </row>
    <row r="940" spans="21:22" ht="13" x14ac:dyDescent="0.15">
      <c r="U940" s="3"/>
      <c r="V940" s="3"/>
    </row>
    <row r="941" spans="21:22" ht="13" x14ac:dyDescent="0.15">
      <c r="U941" s="3"/>
      <c r="V941" s="3"/>
    </row>
    <row r="942" spans="21:22" ht="13" x14ac:dyDescent="0.15">
      <c r="U942" s="3"/>
      <c r="V942" s="3"/>
    </row>
    <row r="943" spans="21:22" ht="13" x14ac:dyDescent="0.15">
      <c r="U943" s="3"/>
      <c r="V943" s="3"/>
    </row>
    <row r="944" spans="21:22" ht="13" x14ac:dyDescent="0.15">
      <c r="U944" s="3"/>
      <c r="V944" s="3"/>
    </row>
    <row r="945" spans="21:22" ht="13" x14ac:dyDescent="0.15">
      <c r="U945" s="3"/>
      <c r="V945" s="3"/>
    </row>
    <row r="946" spans="21:22" ht="13" x14ac:dyDescent="0.15">
      <c r="U946" s="3"/>
      <c r="V946" s="3"/>
    </row>
    <row r="947" spans="21:22" ht="13" x14ac:dyDescent="0.15">
      <c r="U947" s="3"/>
      <c r="V947" s="3"/>
    </row>
    <row r="948" spans="21:22" ht="13" x14ac:dyDescent="0.15">
      <c r="U948" s="3"/>
      <c r="V948" s="3"/>
    </row>
    <row r="949" spans="21:22" ht="13" x14ac:dyDescent="0.15">
      <c r="U949" s="3"/>
      <c r="V949" s="3"/>
    </row>
    <row r="950" spans="21:22" ht="13" x14ac:dyDescent="0.15">
      <c r="U950" s="3"/>
      <c r="V950" s="3"/>
    </row>
    <row r="951" spans="21:22" ht="13" x14ac:dyDescent="0.15">
      <c r="U951" s="3"/>
      <c r="V951" s="3"/>
    </row>
    <row r="952" spans="21:22" ht="13" x14ac:dyDescent="0.15">
      <c r="U952" s="3"/>
      <c r="V952" s="3"/>
    </row>
    <row r="953" spans="21:22" ht="13" x14ac:dyDescent="0.15">
      <c r="U953" s="3"/>
      <c r="V953" s="3"/>
    </row>
    <row r="954" spans="21:22" ht="13" x14ac:dyDescent="0.15">
      <c r="U954" s="3"/>
      <c r="V954" s="3"/>
    </row>
    <row r="955" spans="21:22" ht="13" x14ac:dyDescent="0.15">
      <c r="U955" s="3"/>
      <c r="V955" s="3"/>
    </row>
    <row r="956" spans="21:22" ht="13" x14ac:dyDescent="0.15">
      <c r="U956" s="3"/>
      <c r="V956" s="3"/>
    </row>
    <row r="957" spans="21:22" ht="13" x14ac:dyDescent="0.15">
      <c r="U957" s="3"/>
      <c r="V957" s="3"/>
    </row>
    <row r="958" spans="21:22" ht="13" x14ac:dyDescent="0.15">
      <c r="U958" s="3"/>
      <c r="V958" s="3"/>
    </row>
    <row r="959" spans="21:22" ht="13" x14ac:dyDescent="0.15">
      <c r="U959" s="3"/>
      <c r="V959" s="3"/>
    </row>
    <row r="960" spans="21:22" ht="13" x14ac:dyDescent="0.15">
      <c r="U960" s="3"/>
      <c r="V960" s="3"/>
    </row>
    <row r="961" spans="21:22" ht="13" x14ac:dyDescent="0.15">
      <c r="U961" s="3"/>
      <c r="V961" s="3"/>
    </row>
    <row r="962" spans="21:22" ht="13" x14ac:dyDescent="0.15">
      <c r="U962" s="3"/>
      <c r="V962" s="3"/>
    </row>
    <row r="963" spans="21:22" ht="13" x14ac:dyDescent="0.15">
      <c r="U963" s="3"/>
      <c r="V963" s="3"/>
    </row>
    <row r="964" spans="21:22" ht="13" x14ac:dyDescent="0.15">
      <c r="U964" s="3"/>
      <c r="V964" s="3"/>
    </row>
    <row r="965" spans="21:22" ht="13" x14ac:dyDescent="0.15">
      <c r="U965" s="3"/>
      <c r="V965" s="3"/>
    </row>
    <row r="966" spans="21:22" ht="13" x14ac:dyDescent="0.15">
      <c r="U966" s="3"/>
      <c r="V966" s="3"/>
    </row>
    <row r="967" spans="21:22" ht="13" x14ac:dyDescent="0.15">
      <c r="U967" s="3"/>
      <c r="V967" s="3"/>
    </row>
    <row r="968" spans="21:22" ht="13" x14ac:dyDescent="0.15">
      <c r="U968" s="3"/>
      <c r="V968" s="3"/>
    </row>
    <row r="969" spans="21:22" ht="13" x14ac:dyDescent="0.15">
      <c r="U969" s="3"/>
      <c r="V969" s="3"/>
    </row>
    <row r="970" spans="21:22" ht="13" x14ac:dyDescent="0.15">
      <c r="U970" s="3"/>
      <c r="V970" s="3"/>
    </row>
    <row r="971" spans="21:22" ht="13" x14ac:dyDescent="0.15">
      <c r="U971" s="3"/>
      <c r="V971" s="3"/>
    </row>
    <row r="972" spans="21:22" ht="13" x14ac:dyDescent="0.15">
      <c r="U972" s="3"/>
      <c r="V972" s="3"/>
    </row>
    <row r="973" spans="21:22" ht="13" x14ac:dyDescent="0.15">
      <c r="U973" s="3"/>
      <c r="V973" s="3"/>
    </row>
    <row r="974" spans="21:22" ht="13" x14ac:dyDescent="0.15">
      <c r="U974" s="3"/>
      <c r="V974" s="3"/>
    </row>
    <row r="975" spans="21:22" ht="13" x14ac:dyDescent="0.15">
      <c r="U975" s="3"/>
      <c r="V975" s="3"/>
    </row>
    <row r="976" spans="21:22" ht="13" x14ac:dyDescent="0.15">
      <c r="U976" s="3"/>
      <c r="V976" s="3"/>
    </row>
    <row r="977" spans="21:22" ht="13" x14ac:dyDescent="0.15">
      <c r="U977" s="3"/>
      <c r="V977" s="3"/>
    </row>
    <row r="978" spans="21:22" ht="13" x14ac:dyDescent="0.15">
      <c r="U978" s="3"/>
      <c r="V978" s="3"/>
    </row>
    <row r="979" spans="21:22" ht="13" x14ac:dyDescent="0.15">
      <c r="U979" s="3"/>
      <c r="V979" s="3"/>
    </row>
  </sheetData>
  <dataValidations count="4">
    <dataValidation type="list" allowBlank="1" showErrorMessage="1" sqref="X2:X19" xr:uid="{00000000-0002-0000-0000-000000000000}">
      <formula1>"Good Rotation,Lateral Shift ,Unable "</formula1>
    </dataValidation>
    <dataValidation type="list" allowBlank="1" showErrorMessage="1" sqref="AB2:AC19" xr:uid="{00000000-0002-0000-0000-000001000000}">
      <formula1>"Good,Trunk Stability ,LE Stability "</formula1>
    </dataValidation>
    <dataValidation type="list" allowBlank="1" showErrorMessage="1" sqref="Y2:Y19" xr:uid="{00000000-0002-0000-0000-000002000000}">
      <formula1>"Good,Shake &amp; Bake,No Posterior Tilt ,No Anterior Tilt"</formula1>
    </dataValidation>
    <dataValidation type="list" allowBlank="1" showErrorMessage="1" sqref="Z2:AA19" xr:uid="{00000000-0002-0000-0000-000003000000}">
      <formula1>"Good,Knee Valgus - Foot/hip,Poor Eccentric Control"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27"/>
  <sheetViews>
    <sheetView workbookViewId="0">
      <selection activeCell="H20" sqref="H20"/>
    </sheetView>
  </sheetViews>
  <sheetFormatPr baseColWidth="10" defaultColWidth="12.6640625" defaultRowHeight="15.75" customHeight="1" x14ac:dyDescent="0.15"/>
  <cols>
    <col min="1" max="1" width="15.1640625" customWidth="1"/>
    <col min="2" max="2" width="18" customWidth="1"/>
    <col min="3" max="3" width="20.33203125" customWidth="1"/>
  </cols>
  <sheetData>
    <row r="1" spans="1:26" ht="15.75" customHeight="1" x14ac:dyDescent="0.15">
      <c r="A1" s="1" t="e">
        <f>A3:A20</f>
        <v>#VALUE!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tr">
        <f>'Table Assessment'!A2</f>
        <v>Nick</v>
      </c>
      <c r="B2" s="2" t="s">
        <v>62</v>
      </c>
      <c r="C2" s="2" t="s">
        <v>63</v>
      </c>
      <c r="D2" s="2" t="s">
        <v>62</v>
      </c>
      <c r="E2" s="2" t="s">
        <v>64</v>
      </c>
      <c r="F2" s="2" t="s">
        <v>65</v>
      </c>
      <c r="G2" s="2" t="s">
        <v>66</v>
      </c>
    </row>
    <row r="3" spans="1:26" ht="15.75" customHeight="1" x14ac:dyDescent="0.15">
      <c r="A3" s="2" t="str">
        <f>'Table Assessment'!A3</f>
        <v>Xavier</v>
      </c>
      <c r="B3" s="2" t="s">
        <v>67</v>
      </c>
      <c r="C3" s="2" t="s">
        <v>68</v>
      </c>
      <c r="D3" s="2" t="s">
        <v>69</v>
      </c>
      <c r="E3" s="2" t="s">
        <v>70</v>
      </c>
      <c r="F3" s="2" t="s">
        <v>71</v>
      </c>
      <c r="G3" s="2" t="s">
        <v>72</v>
      </c>
    </row>
    <row r="4" spans="1:26" ht="15.75" customHeight="1" x14ac:dyDescent="0.15">
      <c r="A4" s="2" t="str">
        <f>'Table Assessment'!A4</f>
        <v>John</v>
      </c>
      <c r="B4" s="2" t="s">
        <v>71</v>
      </c>
      <c r="C4" s="2" t="s">
        <v>73</v>
      </c>
      <c r="D4" s="2" t="s">
        <v>74</v>
      </c>
      <c r="E4" s="2" t="s">
        <v>74</v>
      </c>
      <c r="F4" s="2" t="s">
        <v>75</v>
      </c>
      <c r="G4" s="2" t="s">
        <v>71</v>
      </c>
    </row>
    <row r="5" spans="1:26" ht="15.75" customHeight="1" x14ac:dyDescent="0.15">
      <c r="A5" s="2" t="str">
        <f>'Table Assessment'!A5</f>
        <v>Joe</v>
      </c>
      <c r="B5" s="2" t="s">
        <v>76</v>
      </c>
      <c r="C5" s="2" t="s">
        <v>77</v>
      </c>
      <c r="D5" s="2" t="s">
        <v>65</v>
      </c>
      <c r="E5" s="2" t="s">
        <v>65</v>
      </c>
      <c r="F5" s="2" t="s">
        <v>66</v>
      </c>
      <c r="G5" s="2" t="s">
        <v>78</v>
      </c>
    </row>
    <row r="6" spans="1:26" ht="15.75" customHeight="1" x14ac:dyDescent="0.15">
      <c r="A6" s="2" t="str">
        <f>'Table Assessment'!A6</f>
        <v>Liam</v>
      </c>
      <c r="B6" s="2" t="s">
        <v>79</v>
      </c>
      <c r="C6" s="2" t="s">
        <v>80</v>
      </c>
      <c r="D6" s="2" t="s">
        <v>70</v>
      </c>
      <c r="E6" s="2" t="s">
        <v>63</v>
      </c>
      <c r="F6" s="2" t="s">
        <v>63</v>
      </c>
      <c r="G6" s="2" t="s">
        <v>70</v>
      </c>
    </row>
    <row r="7" spans="1:26" ht="15.75" customHeight="1" x14ac:dyDescent="0.15">
      <c r="A7" s="2" t="str">
        <f>'Table Assessment'!A7</f>
        <v>Rafael</v>
      </c>
      <c r="B7" s="2" t="s">
        <v>81</v>
      </c>
      <c r="C7" s="2" t="s">
        <v>82</v>
      </c>
      <c r="D7" s="2" t="s">
        <v>65</v>
      </c>
      <c r="E7" s="2" t="s">
        <v>83</v>
      </c>
      <c r="F7" s="2" t="s">
        <v>65</v>
      </c>
      <c r="G7" s="2" t="s">
        <v>66</v>
      </c>
    </row>
    <row r="8" spans="1:26" ht="15.75" customHeight="1" x14ac:dyDescent="0.15">
      <c r="A8" s="2" t="str">
        <f>'Table Assessment'!A8</f>
        <v>Jaxzyn</v>
      </c>
      <c r="B8" s="2" t="s">
        <v>78</v>
      </c>
      <c r="C8" s="2" t="s">
        <v>84</v>
      </c>
      <c r="D8" s="2" t="s">
        <v>66</v>
      </c>
      <c r="E8" s="2" t="s">
        <v>66</v>
      </c>
      <c r="F8" s="2" t="s">
        <v>65</v>
      </c>
      <c r="G8" s="2" t="s">
        <v>85</v>
      </c>
    </row>
    <row r="9" spans="1:26" ht="15.75" customHeight="1" x14ac:dyDescent="0.15">
      <c r="A9" s="2" t="str">
        <f>'Table Assessment'!A9</f>
        <v>Justin</v>
      </c>
      <c r="B9" s="2" t="s">
        <v>79</v>
      </c>
      <c r="C9" s="2" t="s">
        <v>80</v>
      </c>
      <c r="D9" s="2" t="s">
        <v>86</v>
      </c>
      <c r="E9" s="2" t="s">
        <v>87</v>
      </c>
      <c r="F9" s="2" t="s">
        <v>66</v>
      </c>
      <c r="G9" s="2" t="s">
        <v>65</v>
      </c>
    </row>
    <row r="10" spans="1:26" ht="15.75" customHeight="1" x14ac:dyDescent="0.15">
      <c r="A10" s="2" t="str">
        <f>'Table Assessment'!A10</f>
        <v>Jaden</v>
      </c>
      <c r="B10" s="2" t="s">
        <v>64</v>
      </c>
      <c r="C10" s="2" t="s">
        <v>89</v>
      </c>
      <c r="D10" s="2" t="s">
        <v>90</v>
      </c>
      <c r="E10" s="2" t="s">
        <v>65</v>
      </c>
      <c r="F10" s="2" t="s">
        <v>64</v>
      </c>
      <c r="G10" s="2" t="s">
        <v>66</v>
      </c>
    </row>
    <row r="11" spans="1:26" ht="15.75" customHeight="1" x14ac:dyDescent="0.15">
      <c r="A11" s="2" t="str">
        <f>'Table Assessment'!A11</f>
        <v>Kayden</v>
      </c>
      <c r="B11" s="2" t="s">
        <v>84</v>
      </c>
      <c r="C11" s="2" t="s">
        <v>68</v>
      </c>
      <c r="D11" s="2" t="s">
        <v>72</v>
      </c>
      <c r="E11" s="2" t="s">
        <v>89</v>
      </c>
      <c r="F11" s="2" t="s">
        <v>87</v>
      </c>
      <c r="G11" s="2" t="s">
        <v>70</v>
      </c>
    </row>
    <row r="12" spans="1:26" ht="15.75" customHeight="1" x14ac:dyDescent="0.15">
      <c r="A12" s="2" t="str">
        <f>'Table Assessment'!A12</f>
        <v>Kaleb</v>
      </c>
      <c r="B12" s="2" t="s">
        <v>72</v>
      </c>
      <c r="C12" s="2" t="s">
        <v>91</v>
      </c>
      <c r="D12" s="2" t="s">
        <v>63</v>
      </c>
      <c r="E12" s="2" t="s">
        <v>77</v>
      </c>
      <c r="F12" s="2" t="s">
        <v>72</v>
      </c>
      <c r="G12" s="2" t="s">
        <v>74</v>
      </c>
    </row>
    <row r="13" spans="1:26" ht="15.75" customHeight="1" x14ac:dyDescent="0.15">
      <c r="A13" s="2" t="str">
        <f>'Table Assessment'!A13</f>
        <v>Tony</v>
      </c>
      <c r="B13" s="2" t="s">
        <v>65</v>
      </c>
      <c r="C13" s="2" t="s">
        <v>69</v>
      </c>
      <c r="D13" s="2" t="s">
        <v>66</v>
      </c>
      <c r="E13" s="2" t="s">
        <v>92</v>
      </c>
      <c r="F13" s="2" t="s">
        <v>65</v>
      </c>
      <c r="G13" s="2" t="s">
        <v>83</v>
      </c>
    </row>
    <row r="14" spans="1:26" ht="15.75" customHeight="1" x14ac:dyDescent="0.15">
      <c r="A14" s="2" t="str">
        <f>'Table Assessment'!A14</f>
        <v>Kieran</v>
      </c>
      <c r="B14" s="2" t="s">
        <v>90</v>
      </c>
      <c r="C14" s="2" t="s">
        <v>77</v>
      </c>
      <c r="D14" s="2" t="s">
        <v>62</v>
      </c>
      <c r="E14" s="2" t="s">
        <v>83</v>
      </c>
      <c r="F14" s="2" t="s">
        <v>92</v>
      </c>
      <c r="G14" s="2" t="s">
        <v>76</v>
      </c>
    </row>
    <row r="15" spans="1:26" ht="15.75" customHeight="1" x14ac:dyDescent="0.15">
      <c r="A15" s="2" t="str">
        <f>'Table Assessment'!A15</f>
        <v>Zack</v>
      </c>
      <c r="B15" s="2" t="s">
        <v>86</v>
      </c>
      <c r="C15" s="2" t="s">
        <v>93</v>
      </c>
      <c r="D15" s="2" t="s">
        <v>78</v>
      </c>
      <c r="E15" s="2" t="s">
        <v>64</v>
      </c>
      <c r="F15" s="2" t="s">
        <v>94</v>
      </c>
      <c r="G15" s="2" t="s">
        <v>76</v>
      </c>
    </row>
    <row r="16" spans="1:26" ht="15.75" customHeight="1" x14ac:dyDescent="0.15">
      <c r="A16" s="2" t="str">
        <f>'Table Assessment'!A16</f>
        <v>Gianluca</v>
      </c>
      <c r="B16" s="2" t="s">
        <v>66</v>
      </c>
      <c r="C16" s="2" t="s">
        <v>75</v>
      </c>
      <c r="D16" s="2" t="s">
        <v>62</v>
      </c>
      <c r="E16" s="2" t="s">
        <v>66</v>
      </c>
      <c r="F16" s="2" t="s">
        <v>76</v>
      </c>
      <c r="G16" s="2" t="s">
        <v>65</v>
      </c>
    </row>
    <row r="17" spans="1:7" ht="15.75" customHeight="1" x14ac:dyDescent="0.15">
      <c r="A17" s="2" t="str">
        <f>'Table Assessment'!A17</f>
        <v>Cole</v>
      </c>
      <c r="B17" s="2" t="s">
        <v>66</v>
      </c>
      <c r="C17" s="2" t="s">
        <v>93</v>
      </c>
      <c r="D17" s="2" t="s">
        <v>65</v>
      </c>
      <c r="E17" s="2" t="s">
        <v>92</v>
      </c>
      <c r="F17" s="2" t="s">
        <v>76</v>
      </c>
      <c r="G17" s="2" t="s">
        <v>87</v>
      </c>
    </row>
    <row r="18" spans="1:7" ht="15.75" customHeight="1" x14ac:dyDescent="0.15">
      <c r="A18" s="2" t="str">
        <f>'Table Assessment'!A18</f>
        <v>Reece</v>
      </c>
      <c r="B18" s="2" t="s">
        <v>87</v>
      </c>
      <c r="C18" s="2" t="s">
        <v>89</v>
      </c>
      <c r="D18" s="2" t="s">
        <v>79</v>
      </c>
      <c r="E18" s="2" t="s">
        <v>86</v>
      </c>
      <c r="F18" s="2" t="s">
        <v>79</v>
      </c>
      <c r="G18" s="2" t="s">
        <v>79</v>
      </c>
    </row>
    <row r="19" spans="1:7" ht="15.75" customHeight="1" x14ac:dyDescent="0.15">
      <c r="A19" s="2" t="str">
        <f>'Table Assessment'!A19</f>
        <v>Caleb</v>
      </c>
      <c r="B19" s="2" t="s">
        <v>78</v>
      </c>
      <c r="C19" s="2" t="s">
        <v>88</v>
      </c>
      <c r="D19" s="2" t="s">
        <v>84</v>
      </c>
      <c r="E19" s="2" t="s">
        <v>95</v>
      </c>
      <c r="F19" s="2" t="s">
        <v>63</v>
      </c>
      <c r="G19" s="2" t="s">
        <v>72</v>
      </c>
    </row>
    <row r="39" spans="1:1" ht="15.75" customHeight="1" x14ac:dyDescent="0.15">
      <c r="A39" s="2"/>
    </row>
    <row r="40" spans="1:1" ht="15.75" customHeight="1" x14ac:dyDescent="0.15">
      <c r="A40" s="2"/>
    </row>
    <row r="41" spans="1:1" ht="15.75" customHeight="1" x14ac:dyDescent="0.15">
      <c r="A41" s="2"/>
    </row>
    <row r="42" spans="1:1" ht="15.75" customHeight="1" x14ac:dyDescent="0.15">
      <c r="A42" s="2"/>
    </row>
    <row r="43" spans="1:1" ht="15.75" customHeight="1" x14ac:dyDescent="0.15">
      <c r="A43" s="2"/>
    </row>
    <row r="44" spans="1:1" ht="15.75" customHeight="1" x14ac:dyDescent="0.15">
      <c r="A44" s="2"/>
    </row>
    <row r="45" spans="1:1" ht="15.75" customHeight="1" x14ac:dyDescent="0.15">
      <c r="A45" s="2"/>
    </row>
    <row r="46" spans="1:1" ht="15.75" customHeight="1" x14ac:dyDescent="0.15">
      <c r="A46" s="2"/>
    </row>
    <row r="47" spans="1:1" ht="15.75" customHeight="1" x14ac:dyDescent="0.15">
      <c r="A47" s="2"/>
    </row>
    <row r="48" spans="1:1" ht="15.75" customHeight="1" x14ac:dyDescent="0.15">
      <c r="A48" s="2"/>
    </row>
    <row r="49" spans="1:1" ht="15.75" customHeight="1" x14ac:dyDescent="0.15">
      <c r="A49" s="2"/>
    </row>
    <row r="50" spans="1:1" ht="15.75" customHeight="1" x14ac:dyDescent="0.15">
      <c r="A50" s="2"/>
    </row>
    <row r="51" spans="1:1" ht="15.75" customHeight="1" x14ac:dyDescent="0.15">
      <c r="A51" s="2"/>
    </row>
    <row r="52" spans="1:1" ht="15.75" customHeight="1" x14ac:dyDescent="0.15">
      <c r="A52" s="2"/>
    </row>
    <row r="53" spans="1:1" ht="13" x14ac:dyDescent="0.15">
      <c r="A53" s="2"/>
    </row>
    <row r="54" spans="1:1" ht="13" x14ac:dyDescent="0.15">
      <c r="A54" s="2"/>
    </row>
    <row r="55" spans="1:1" ht="13" x14ac:dyDescent="0.15">
      <c r="A55" s="2"/>
    </row>
    <row r="56" spans="1:1" ht="13" x14ac:dyDescent="0.15">
      <c r="A56" s="2"/>
    </row>
    <row r="57" spans="1:1" ht="13" x14ac:dyDescent="0.15">
      <c r="A57" s="2"/>
    </row>
    <row r="58" spans="1:1" ht="13" x14ac:dyDescent="0.15">
      <c r="A58" s="2"/>
    </row>
    <row r="59" spans="1:1" ht="13" x14ac:dyDescent="0.15">
      <c r="A59" s="2"/>
    </row>
    <row r="60" spans="1:1" ht="13" x14ac:dyDescent="0.15">
      <c r="A60" s="2"/>
    </row>
    <row r="61" spans="1:1" ht="13" x14ac:dyDescent="0.15">
      <c r="A61" s="2"/>
    </row>
    <row r="62" spans="1:1" ht="13" x14ac:dyDescent="0.15">
      <c r="A62" s="2"/>
    </row>
    <row r="63" spans="1:1" ht="13" x14ac:dyDescent="0.15">
      <c r="A63" s="2"/>
    </row>
    <row r="64" spans="1:1" ht="13" x14ac:dyDescent="0.15">
      <c r="A64" s="2"/>
    </row>
    <row r="65" spans="1:1" ht="13" x14ac:dyDescent="0.15">
      <c r="A65" s="2"/>
    </row>
    <row r="66" spans="1:1" ht="13" x14ac:dyDescent="0.15">
      <c r="A66" s="2"/>
    </row>
    <row r="67" spans="1:1" ht="13" x14ac:dyDescent="0.15">
      <c r="A67" s="2"/>
    </row>
    <row r="68" spans="1:1" ht="13" x14ac:dyDescent="0.15">
      <c r="A68" s="2"/>
    </row>
    <row r="69" spans="1:1" ht="13" x14ac:dyDescent="0.15">
      <c r="A69" s="2"/>
    </row>
    <row r="70" spans="1:1" ht="13" x14ac:dyDescent="0.15">
      <c r="A70" s="2"/>
    </row>
    <row r="71" spans="1:1" ht="13" x14ac:dyDescent="0.15">
      <c r="A71" s="2"/>
    </row>
    <row r="72" spans="1:1" ht="13" x14ac:dyDescent="0.15">
      <c r="A72" s="2"/>
    </row>
    <row r="73" spans="1:1" ht="13" x14ac:dyDescent="0.15">
      <c r="A73" s="2"/>
    </row>
    <row r="74" spans="1:1" ht="13" x14ac:dyDescent="0.15">
      <c r="A74" s="2"/>
    </row>
    <row r="75" spans="1:1" ht="13" x14ac:dyDescent="0.15">
      <c r="A75" s="2"/>
    </row>
    <row r="76" spans="1:1" ht="13" x14ac:dyDescent="0.15">
      <c r="A76" s="2"/>
    </row>
    <row r="77" spans="1:1" ht="13" x14ac:dyDescent="0.15">
      <c r="A77" s="2"/>
    </row>
    <row r="78" spans="1:1" ht="13" x14ac:dyDescent="0.15">
      <c r="A78" s="2"/>
    </row>
    <row r="79" spans="1:1" ht="13" x14ac:dyDescent="0.15">
      <c r="A79" s="2"/>
    </row>
    <row r="80" spans="1:1" ht="13" x14ac:dyDescent="0.15">
      <c r="A80" s="2"/>
    </row>
    <row r="81" spans="1:1" ht="13" x14ac:dyDescent="0.15">
      <c r="A81" s="2"/>
    </row>
    <row r="82" spans="1:1" ht="13" x14ac:dyDescent="0.15">
      <c r="A82" s="2"/>
    </row>
    <row r="83" spans="1:1" ht="13" x14ac:dyDescent="0.15">
      <c r="A83" s="2"/>
    </row>
    <row r="84" spans="1:1" ht="13" x14ac:dyDescent="0.15">
      <c r="A84" s="2"/>
    </row>
    <row r="85" spans="1:1" ht="13" x14ac:dyDescent="0.15">
      <c r="A85" s="2"/>
    </row>
    <row r="86" spans="1:1" ht="13" x14ac:dyDescent="0.15">
      <c r="A86" s="2"/>
    </row>
    <row r="87" spans="1:1" ht="13" x14ac:dyDescent="0.15">
      <c r="A87" s="2"/>
    </row>
    <row r="88" spans="1:1" ht="13" x14ac:dyDescent="0.15">
      <c r="A88" s="2"/>
    </row>
    <row r="89" spans="1:1" ht="13" x14ac:dyDescent="0.15">
      <c r="A89" s="2"/>
    </row>
    <row r="90" spans="1:1" ht="13" x14ac:dyDescent="0.15">
      <c r="A90" s="2"/>
    </row>
    <row r="91" spans="1:1" ht="13" x14ac:dyDescent="0.15">
      <c r="A91" s="2"/>
    </row>
    <row r="92" spans="1:1" ht="13" x14ac:dyDescent="0.15">
      <c r="A92" s="2"/>
    </row>
    <row r="93" spans="1:1" ht="13" x14ac:dyDescent="0.15">
      <c r="A93" s="2"/>
    </row>
    <row r="94" spans="1:1" ht="13" x14ac:dyDescent="0.15">
      <c r="A94" s="2"/>
    </row>
    <row r="95" spans="1:1" ht="13" x14ac:dyDescent="0.15">
      <c r="A95" s="2"/>
    </row>
    <row r="96" spans="1:1" ht="13" x14ac:dyDescent="0.15">
      <c r="A96" s="2"/>
    </row>
    <row r="97" spans="1:1" ht="13" x14ac:dyDescent="0.15">
      <c r="A97" s="2"/>
    </row>
    <row r="98" spans="1:1" ht="13" x14ac:dyDescent="0.15">
      <c r="A98" s="2"/>
    </row>
    <row r="99" spans="1:1" ht="13" x14ac:dyDescent="0.15">
      <c r="A99" s="2"/>
    </row>
    <row r="100" spans="1:1" ht="13" x14ac:dyDescent="0.15">
      <c r="A100" s="2"/>
    </row>
    <row r="101" spans="1:1" ht="13" x14ac:dyDescent="0.15">
      <c r="A101" s="2"/>
    </row>
    <row r="102" spans="1:1" ht="13" x14ac:dyDescent="0.15">
      <c r="A102" s="2"/>
    </row>
    <row r="103" spans="1:1" ht="13" x14ac:dyDescent="0.15">
      <c r="A103" s="2"/>
    </row>
    <row r="104" spans="1:1" ht="13" x14ac:dyDescent="0.15">
      <c r="A104" s="2"/>
    </row>
    <row r="105" spans="1:1" ht="13" x14ac:dyDescent="0.15">
      <c r="A105" s="2"/>
    </row>
    <row r="106" spans="1:1" ht="13" x14ac:dyDescent="0.15">
      <c r="A106" s="2"/>
    </row>
    <row r="107" spans="1:1" ht="13" x14ac:dyDescent="0.15">
      <c r="A107" s="2"/>
    </row>
    <row r="108" spans="1:1" ht="13" x14ac:dyDescent="0.15">
      <c r="A108" s="2"/>
    </row>
    <row r="109" spans="1:1" ht="13" x14ac:dyDescent="0.15">
      <c r="A109" s="2"/>
    </row>
    <row r="110" spans="1:1" ht="13" x14ac:dyDescent="0.15">
      <c r="A110" s="2"/>
    </row>
    <row r="111" spans="1:1" ht="13" x14ac:dyDescent="0.15">
      <c r="A111" s="2"/>
    </row>
    <row r="112" spans="1:1" ht="13" x14ac:dyDescent="0.15">
      <c r="A112" s="2"/>
    </row>
    <row r="113" spans="1:1" ht="13" x14ac:dyDescent="0.15">
      <c r="A113" s="2"/>
    </row>
    <row r="114" spans="1:1" ht="13" x14ac:dyDescent="0.15">
      <c r="A114" s="2"/>
    </row>
    <row r="115" spans="1:1" ht="13" x14ac:dyDescent="0.15">
      <c r="A115" s="2"/>
    </row>
    <row r="116" spans="1:1" ht="13" x14ac:dyDescent="0.15">
      <c r="A116" s="2"/>
    </row>
    <row r="117" spans="1:1" ht="13" x14ac:dyDescent="0.15">
      <c r="A117" s="2"/>
    </row>
    <row r="118" spans="1:1" ht="13" x14ac:dyDescent="0.15">
      <c r="A118" s="2"/>
    </row>
    <row r="119" spans="1:1" ht="13" x14ac:dyDescent="0.15">
      <c r="A119" s="2"/>
    </row>
    <row r="120" spans="1:1" ht="13" x14ac:dyDescent="0.15">
      <c r="A120" s="2"/>
    </row>
    <row r="121" spans="1:1" ht="13" x14ac:dyDescent="0.15">
      <c r="A121" s="2"/>
    </row>
    <row r="122" spans="1:1" ht="13" x14ac:dyDescent="0.15">
      <c r="A122" s="2"/>
    </row>
    <row r="123" spans="1:1" ht="13" x14ac:dyDescent="0.15">
      <c r="A123" s="2"/>
    </row>
    <row r="124" spans="1:1" ht="13" x14ac:dyDescent="0.15">
      <c r="A124" s="2"/>
    </row>
    <row r="125" spans="1:1" ht="13" x14ac:dyDescent="0.15">
      <c r="A125" s="2"/>
    </row>
    <row r="126" spans="1:1" ht="13" x14ac:dyDescent="0.15">
      <c r="A126" s="2"/>
    </row>
    <row r="127" spans="1:1" ht="13" x14ac:dyDescent="0.15">
      <c r="A1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Assessment</vt:lpstr>
      <vt:lpstr>Horizontal Jumps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Krishnan, Rohit (Roy)</cp:lastModifiedBy>
  <dcterms:modified xsi:type="dcterms:W3CDTF">2026-03-04T19:19:49Z</dcterms:modified>
</cp:coreProperties>
</file>